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ownload\"/>
    </mc:Choice>
  </mc:AlternateContent>
  <xr:revisionPtr revIDLastSave="0" documentId="8_{7B6A3D10-3D66-4A3A-878B-F42FB187D116}" xr6:coauthVersionLast="47" xr6:coauthVersionMax="47" xr10:uidLastSave="{00000000-0000-0000-0000-000000000000}"/>
  <bookViews>
    <workbookView xWindow="-108" yWindow="-108" windowWidth="23256" windowHeight="13176" tabRatio="500" xr2:uid="{00000000-000D-0000-FFFF-FFFF00000000}"/>
  </bookViews>
  <sheets>
    <sheet name="Raw_Property_Data" sheetId="1" r:id="rId1"/>
    <sheet name="Historical_Sales" sheetId="2" r:id="rId2"/>
    <sheet name="Cleaned_Property_Data" sheetId="3" r:id="rId3"/>
    <sheet name="Final_Data"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24" i="3" l="1"/>
  <c r="H24" i="3"/>
  <c r="G24" i="3"/>
  <c r="F24" i="3"/>
  <c r="E24" i="3"/>
  <c r="K24" i="3" s="1"/>
  <c r="D24" i="3"/>
  <c r="C24" i="3"/>
  <c r="B24" i="3"/>
  <c r="A24" i="3"/>
  <c r="I23" i="3"/>
  <c r="I21" i="4" s="1"/>
  <c r="H23" i="3"/>
  <c r="F21" i="4" s="1"/>
  <c r="G23" i="3"/>
  <c r="G21" i="4" s="1"/>
  <c r="F23" i="3"/>
  <c r="H21" i="4" s="1"/>
  <c r="E23" i="3"/>
  <c r="D23" i="3"/>
  <c r="D21" i="4" s="1"/>
  <c r="C23" i="3"/>
  <c r="C21" i="4" s="1"/>
  <c r="B23" i="3"/>
  <c r="B21" i="4" s="1"/>
  <c r="A23" i="3"/>
  <c r="I22" i="3"/>
  <c r="H22" i="3"/>
  <c r="G22" i="3"/>
  <c r="F22" i="3"/>
  <c r="E22" i="3"/>
  <c r="K22" i="3" s="1"/>
  <c r="D22" i="3"/>
  <c r="C22" i="3"/>
  <c r="B22" i="3"/>
  <c r="A22" i="3"/>
  <c r="I21" i="3"/>
  <c r="I20" i="4" s="1"/>
  <c r="H21" i="3"/>
  <c r="F20" i="4" s="1"/>
  <c r="G21" i="3"/>
  <c r="G20" i="4" s="1"/>
  <c r="F21" i="3"/>
  <c r="H20" i="4" s="1"/>
  <c r="E21" i="3"/>
  <c r="D21" i="3"/>
  <c r="D20" i="4" s="1"/>
  <c r="C21" i="3"/>
  <c r="C20" i="4" s="1"/>
  <c r="B21" i="3"/>
  <c r="B20" i="4" s="1"/>
  <c r="A21" i="3"/>
  <c r="I20" i="3"/>
  <c r="I19" i="4" s="1"/>
  <c r="H20" i="3"/>
  <c r="F19" i="4" s="1"/>
  <c r="G20" i="3"/>
  <c r="G19" i="4" s="1"/>
  <c r="F20" i="3"/>
  <c r="H19" i="4" s="1"/>
  <c r="E20" i="3"/>
  <c r="D20" i="3"/>
  <c r="D19" i="4" s="1"/>
  <c r="C20" i="3"/>
  <c r="C19" i="4" s="1"/>
  <c r="B20" i="3"/>
  <c r="B19" i="4" s="1"/>
  <c r="A20" i="3"/>
  <c r="I19" i="3"/>
  <c r="I18" i="4" s="1"/>
  <c r="H19" i="3"/>
  <c r="F18" i="4" s="1"/>
  <c r="G19" i="3"/>
  <c r="G18" i="4" s="1"/>
  <c r="F19" i="3"/>
  <c r="H18" i="4" s="1"/>
  <c r="E19" i="3"/>
  <c r="D19" i="3"/>
  <c r="D18" i="4" s="1"/>
  <c r="C19" i="3"/>
  <c r="C18" i="4" s="1"/>
  <c r="B19" i="3"/>
  <c r="B18" i="4" s="1"/>
  <c r="A19" i="3"/>
  <c r="I18" i="3"/>
  <c r="I17" i="4" s="1"/>
  <c r="H18" i="3"/>
  <c r="F17" i="4" s="1"/>
  <c r="G18" i="3"/>
  <c r="G17" i="4" s="1"/>
  <c r="F18" i="3"/>
  <c r="H17" i="4" s="1"/>
  <c r="E18" i="3"/>
  <c r="D18" i="3"/>
  <c r="D17" i="4" s="1"/>
  <c r="C18" i="3"/>
  <c r="C17" i="4" s="1"/>
  <c r="B18" i="3"/>
  <c r="B17" i="4" s="1"/>
  <c r="A18" i="3"/>
  <c r="I17" i="3"/>
  <c r="I16" i="4" s="1"/>
  <c r="H17" i="3"/>
  <c r="F16" i="4" s="1"/>
  <c r="G17" i="3"/>
  <c r="G16" i="4" s="1"/>
  <c r="F17" i="3"/>
  <c r="H16" i="4" s="1"/>
  <c r="E17" i="3"/>
  <c r="D17" i="3"/>
  <c r="D16" i="4" s="1"/>
  <c r="C17" i="3"/>
  <c r="C16" i="4" s="1"/>
  <c r="B17" i="3"/>
  <c r="B16" i="4" s="1"/>
  <c r="A17" i="3"/>
  <c r="I16" i="3"/>
  <c r="I15" i="4" s="1"/>
  <c r="H16" i="3"/>
  <c r="F15" i="4" s="1"/>
  <c r="G16" i="3"/>
  <c r="G15" i="4" s="1"/>
  <c r="F16" i="3"/>
  <c r="H15" i="4" s="1"/>
  <c r="E16" i="3"/>
  <c r="D16" i="3"/>
  <c r="D15" i="4" s="1"/>
  <c r="C16" i="3"/>
  <c r="C15" i="4" s="1"/>
  <c r="B16" i="3"/>
  <c r="B15" i="4" s="1"/>
  <c r="A16" i="3"/>
  <c r="I15" i="3"/>
  <c r="I14" i="4" s="1"/>
  <c r="H15" i="3"/>
  <c r="F14" i="4" s="1"/>
  <c r="G15" i="3"/>
  <c r="G14" i="4" s="1"/>
  <c r="F15" i="3"/>
  <c r="H14" i="4" s="1"/>
  <c r="E15" i="3"/>
  <c r="D15" i="3"/>
  <c r="D14" i="4" s="1"/>
  <c r="C15" i="3"/>
  <c r="C14" i="4" s="1"/>
  <c r="B15" i="3"/>
  <c r="B14" i="4" s="1"/>
  <c r="A15" i="3"/>
  <c r="I14" i="3"/>
  <c r="I13" i="4" s="1"/>
  <c r="H14" i="3"/>
  <c r="F13" i="4" s="1"/>
  <c r="G14" i="3"/>
  <c r="G13" i="4" s="1"/>
  <c r="F14" i="3"/>
  <c r="H13" i="4" s="1"/>
  <c r="E14" i="3"/>
  <c r="D14" i="3"/>
  <c r="D13" i="4" s="1"/>
  <c r="C14" i="3"/>
  <c r="C13" i="4" s="1"/>
  <c r="B14" i="3"/>
  <c r="B13" i="4" s="1"/>
  <c r="A14" i="3"/>
  <c r="I13" i="3"/>
  <c r="I12" i="4" s="1"/>
  <c r="H13" i="3"/>
  <c r="F12" i="4" s="1"/>
  <c r="G13" i="3"/>
  <c r="G12" i="4" s="1"/>
  <c r="F13" i="3"/>
  <c r="H12" i="4" s="1"/>
  <c r="E13" i="3"/>
  <c r="D13" i="3"/>
  <c r="D12" i="4" s="1"/>
  <c r="C13" i="3"/>
  <c r="C12" i="4" s="1"/>
  <c r="B13" i="3"/>
  <c r="B12" i="4" s="1"/>
  <c r="A13" i="3"/>
  <c r="I12" i="3"/>
  <c r="I11" i="4" s="1"/>
  <c r="H12" i="3"/>
  <c r="F11" i="4" s="1"/>
  <c r="G12" i="3"/>
  <c r="G11" i="4" s="1"/>
  <c r="F12" i="3"/>
  <c r="H11" i="4" s="1"/>
  <c r="E12" i="3"/>
  <c r="D12" i="3"/>
  <c r="D11" i="4" s="1"/>
  <c r="C12" i="3"/>
  <c r="C11" i="4" s="1"/>
  <c r="B12" i="3"/>
  <c r="B11" i="4" s="1"/>
  <c r="A12" i="3"/>
  <c r="I11" i="3"/>
  <c r="I10" i="4" s="1"/>
  <c r="H11" i="3"/>
  <c r="F10" i="4" s="1"/>
  <c r="G11" i="3"/>
  <c r="G10" i="4" s="1"/>
  <c r="F11" i="3"/>
  <c r="H10" i="4" s="1"/>
  <c r="E11" i="3"/>
  <c r="D11" i="3"/>
  <c r="D10" i="4" s="1"/>
  <c r="C11" i="3"/>
  <c r="C10" i="4" s="1"/>
  <c r="B11" i="3"/>
  <c r="B10" i="4" s="1"/>
  <c r="A11" i="3"/>
  <c r="I10" i="3"/>
  <c r="H10" i="3"/>
  <c r="G10" i="3"/>
  <c r="F10" i="3"/>
  <c r="E10" i="3"/>
  <c r="K10" i="3" s="1"/>
  <c r="D10" i="3"/>
  <c r="C10" i="3"/>
  <c r="B10" i="3"/>
  <c r="A10" i="3"/>
  <c r="I9" i="3"/>
  <c r="I9" i="4" s="1"/>
  <c r="H9" i="3"/>
  <c r="F9" i="4" s="1"/>
  <c r="G9" i="3"/>
  <c r="G9" i="4" s="1"/>
  <c r="F9" i="3"/>
  <c r="H9" i="4" s="1"/>
  <c r="E9" i="3"/>
  <c r="D9" i="3"/>
  <c r="D9" i="4" s="1"/>
  <c r="C9" i="3"/>
  <c r="C9" i="4" s="1"/>
  <c r="B9" i="3"/>
  <c r="B9" i="4" s="1"/>
  <c r="A9" i="3"/>
  <c r="I8" i="3"/>
  <c r="I8" i="4" s="1"/>
  <c r="H8" i="3"/>
  <c r="F8" i="4" s="1"/>
  <c r="G8" i="3"/>
  <c r="G8" i="4" s="1"/>
  <c r="F8" i="3"/>
  <c r="H8" i="4" s="1"/>
  <c r="E8" i="3"/>
  <c r="D8" i="3"/>
  <c r="D8" i="4" s="1"/>
  <c r="C8" i="3"/>
  <c r="C8" i="4" s="1"/>
  <c r="B8" i="3"/>
  <c r="B8" i="4" s="1"/>
  <c r="A8" i="3"/>
  <c r="I7" i="3"/>
  <c r="I7" i="4" s="1"/>
  <c r="H7" i="3"/>
  <c r="F7" i="4" s="1"/>
  <c r="G7" i="3"/>
  <c r="G7" i="4" s="1"/>
  <c r="F7" i="3"/>
  <c r="H7" i="4" s="1"/>
  <c r="E7" i="3"/>
  <c r="D7" i="3"/>
  <c r="D7" i="4" s="1"/>
  <c r="C7" i="3"/>
  <c r="C7" i="4" s="1"/>
  <c r="B7" i="3"/>
  <c r="B7" i="4" s="1"/>
  <c r="A7" i="3"/>
  <c r="I6" i="3"/>
  <c r="I6" i="4" s="1"/>
  <c r="H6" i="3"/>
  <c r="F6" i="4" s="1"/>
  <c r="G6" i="3"/>
  <c r="G6" i="4" s="1"/>
  <c r="F6" i="3"/>
  <c r="H6" i="4" s="1"/>
  <c r="E6" i="3"/>
  <c r="D6" i="3"/>
  <c r="D6" i="4" s="1"/>
  <c r="C6" i="3"/>
  <c r="C6" i="4" s="1"/>
  <c r="B6" i="3"/>
  <c r="B6" i="4" s="1"/>
  <c r="A6" i="3"/>
  <c r="I5" i="3"/>
  <c r="I5" i="4" s="1"/>
  <c r="H5" i="3"/>
  <c r="F5" i="4" s="1"/>
  <c r="G5" i="3"/>
  <c r="G5" i="4" s="1"/>
  <c r="F5" i="3"/>
  <c r="H5" i="4" s="1"/>
  <c r="E5" i="3"/>
  <c r="D5" i="3"/>
  <c r="D5" i="4" s="1"/>
  <c r="C5" i="3"/>
  <c r="C5" i="4" s="1"/>
  <c r="B5" i="3"/>
  <c r="B5" i="4" s="1"/>
  <c r="A5" i="3"/>
  <c r="J24" i="3" l="1"/>
  <c r="J22" i="3"/>
  <c r="J10" i="3"/>
  <c r="E21" i="4"/>
  <c r="K23" i="3"/>
  <c r="A21" i="4"/>
  <c r="J23" i="3"/>
  <c r="K21" i="3"/>
  <c r="E20" i="4"/>
  <c r="J21" i="3"/>
  <c r="A20" i="4"/>
  <c r="E19" i="4"/>
  <c r="K20" i="3"/>
  <c r="J20" i="3"/>
  <c r="A19" i="4"/>
  <c r="K19" i="3"/>
  <c r="E18" i="4"/>
  <c r="J19" i="3"/>
  <c r="A18" i="4"/>
  <c r="E17" i="4"/>
  <c r="K18" i="3"/>
  <c r="A17" i="4"/>
  <c r="J18" i="3"/>
  <c r="K17" i="3"/>
  <c r="E16" i="4"/>
  <c r="A16" i="4"/>
  <c r="J17" i="3"/>
  <c r="E15" i="4"/>
  <c r="K16" i="3"/>
  <c r="A15" i="4"/>
  <c r="J16" i="3"/>
  <c r="K15" i="3"/>
  <c r="E14" i="4"/>
  <c r="J15" i="3"/>
  <c r="A14" i="4"/>
  <c r="K14" i="3"/>
  <c r="E13" i="4"/>
  <c r="A13" i="4"/>
  <c r="J14" i="3"/>
  <c r="K13" i="3"/>
  <c r="E12" i="4"/>
  <c r="J13" i="3"/>
  <c r="A12" i="4"/>
  <c r="E11" i="4"/>
  <c r="K12" i="3"/>
  <c r="A11" i="4"/>
  <c r="J12" i="3"/>
  <c r="E10" i="4"/>
  <c r="K11" i="3"/>
  <c r="A10" i="4"/>
  <c r="J11" i="3"/>
  <c r="E9" i="4"/>
  <c r="K9" i="3"/>
  <c r="J9" i="3"/>
  <c r="A9" i="4"/>
  <c r="E8" i="4"/>
  <c r="K8" i="3"/>
  <c r="J8" i="3"/>
  <c r="A8" i="4"/>
  <c r="E7" i="4"/>
  <c r="K7" i="3"/>
  <c r="J7" i="3"/>
  <c r="A7" i="4"/>
  <c r="E6" i="4"/>
  <c r="K6" i="3"/>
  <c r="A6" i="4"/>
  <c r="J6" i="3"/>
  <c r="E5" i="4"/>
  <c r="K5" i="3"/>
  <c r="A5" i="4"/>
  <c r="J5" i="3"/>
  <c r="J21" i="4" l="1"/>
  <c r="K21" i="4"/>
  <c r="J20" i="4"/>
  <c r="K20" i="4"/>
  <c r="J19" i="4"/>
  <c r="K19" i="4"/>
  <c r="J18" i="4"/>
  <c r="K18" i="4"/>
  <c r="J17" i="4"/>
  <c r="K17" i="4"/>
  <c r="J16" i="4"/>
  <c r="K16" i="4"/>
  <c r="J15" i="4"/>
  <c r="K15" i="4"/>
  <c r="J14" i="4"/>
  <c r="K14" i="4"/>
  <c r="J13" i="4"/>
  <c r="K13" i="4"/>
  <c r="J12" i="4"/>
  <c r="K12" i="4"/>
  <c r="J11" i="4"/>
  <c r="K11" i="4"/>
  <c r="J10" i="4"/>
  <c r="K10" i="4"/>
  <c r="J9" i="4"/>
  <c r="K9" i="4"/>
  <c r="J8" i="4"/>
  <c r="K8" i="4"/>
  <c r="J7" i="4"/>
  <c r="K7" i="4"/>
  <c r="J6" i="4"/>
  <c r="K6" i="4"/>
  <c r="J5" i="4"/>
  <c r="K5" i="4"/>
  <c r="B28" i="4"/>
  <c r="B26" i="4"/>
  <c r="B25" i="4"/>
  <c r="L21" i="4" l="1"/>
  <c r="M21" i="4" s="1"/>
  <c r="L20" i="4"/>
  <c r="M20" i="4"/>
  <c r="L19" i="4"/>
  <c r="M19" i="4" s="1"/>
  <c r="L18" i="4"/>
  <c r="M18" i="4" s="1"/>
  <c r="L17" i="4"/>
  <c r="M17" i="4" s="1"/>
  <c r="L16" i="4"/>
  <c r="M16" i="4" s="1"/>
  <c r="L15" i="4"/>
  <c r="M15" i="4" s="1"/>
  <c r="L14" i="4"/>
  <c r="M14" i="4"/>
  <c r="L13" i="4"/>
  <c r="M13" i="4" s="1"/>
  <c r="L12" i="4"/>
  <c r="M12" i="4" s="1"/>
  <c r="L11" i="4"/>
  <c r="M11" i="4" s="1"/>
  <c r="L10" i="4"/>
  <c r="M10" i="4" s="1"/>
  <c r="L9" i="4"/>
  <c r="M9" i="4" s="1"/>
  <c r="L8" i="4"/>
  <c r="M8" i="4" s="1"/>
  <c r="L7" i="4"/>
  <c r="M7" i="4" s="1"/>
  <c r="L6" i="4"/>
  <c r="M6" i="4" s="1"/>
  <c r="L5" i="4"/>
  <c r="M5" i="4"/>
  <c r="B27" i="4"/>
</calcChain>
</file>

<file path=xl/sharedStrings.xml><?xml version="1.0" encoding="utf-8"?>
<sst xmlns="http://schemas.openxmlformats.org/spreadsheetml/2006/main" count="265" uniqueCount="141">
  <si>
    <t>Raw Property Listing Data (as received - unclean)</t>
  </si>
  <si>
    <t>Property ID</t>
  </si>
  <si>
    <t>Address</t>
  </si>
  <si>
    <t>City</t>
  </si>
  <si>
    <t>State</t>
  </si>
  <si>
    <t>ZIP Code</t>
  </si>
  <si>
    <t>Price</t>
  </si>
  <si>
    <t>Bedrooms</t>
  </si>
  <si>
    <t>Property Type</t>
  </si>
  <si>
    <t>Sale Date</t>
  </si>
  <si>
    <t>1004</t>
  </si>
  <si>
    <t xml:space="preserve">  109 Elm St  </t>
  </si>
  <si>
    <t xml:space="preserve">  Fort Worth  </t>
  </si>
  <si>
    <t>TX</t>
  </si>
  <si>
    <t>78703</t>
  </si>
  <si>
    <t>220111</t>
  </si>
  <si>
    <t>4</t>
  </si>
  <si>
    <t>HOUSE</t>
  </si>
  <si>
    <t>2024-03-15</t>
  </si>
  <si>
    <t>1006</t>
  </si>
  <si>
    <t xml:space="preserve">  115 Birch Blvd  </t>
  </si>
  <si>
    <t>AUSTIN</t>
  </si>
  <si>
    <t>78705</t>
  </si>
  <si>
    <t>269724</t>
  </si>
  <si>
    <t>2</t>
  </si>
  <si>
    <t>apartment</t>
  </si>
  <si>
    <t>1011</t>
  </si>
  <si>
    <t xml:space="preserve">  130 Elm St  </t>
  </si>
  <si>
    <t>HOUSTON</t>
  </si>
  <si>
    <t>78710</t>
  </si>
  <si>
    <t>$390,980</t>
  </si>
  <si>
    <t>3</t>
  </si>
  <si>
    <t>15-Mar-2024</t>
  </si>
  <si>
    <t>1015</t>
  </si>
  <si>
    <t xml:space="preserve">  142 Sunset Dr  </t>
  </si>
  <si>
    <t>Dallas</t>
  </si>
  <si>
    <t>$477,287</t>
  </si>
  <si>
    <t>1003</t>
  </si>
  <si>
    <t xml:space="preserve">  106 Oak Ave  </t>
  </si>
  <si>
    <t>dallas</t>
  </si>
  <si>
    <t>$201,279</t>
  </si>
  <si>
    <t>5</t>
  </si>
  <si>
    <t>house</t>
  </si>
  <si>
    <t>1007</t>
  </si>
  <si>
    <t xml:space="preserve">  118 Lake View Dr  </t>
  </si>
  <si>
    <t>78706</t>
  </si>
  <si>
    <t>$294,527</t>
  </si>
  <si>
    <t>1012</t>
  </si>
  <si>
    <t xml:space="preserve">  133 Elm St  </t>
  </si>
  <si>
    <t xml:space="preserve">  Dallas  </t>
  </si>
  <si>
    <t>78711</t>
  </si>
  <si>
    <t>410716</t>
  </si>
  <si>
    <t>03/15/2024</t>
  </si>
  <si>
    <t>1002</t>
  </si>
  <si>
    <t xml:space="preserve">  103 Oak Ave  </t>
  </si>
  <si>
    <t>FORT WORTH</t>
  </si>
  <si>
    <t>78701</t>
  </si>
  <si>
    <t>179174</t>
  </si>
  <si>
    <t>1001</t>
  </si>
  <si>
    <t xml:space="preserve">  100 Oak Ave  </t>
  </si>
  <si>
    <t>Austin</t>
  </si>
  <si>
    <t xml:space="preserve">  tx </t>
  </si>
  <si>
    <t>78700</t>
  </si>
  <si>
    <t>$150,012</t>
  </si>
  <si>
    <t>CONDO</t>
  </si>
  <si>
    <t>1016</t>
  </si>
  <si>
    <t xml:space="preserve">  145 Cedar Ln  </t>
  </si>
  <si>
    <t>78715</t>
  </si>
  <si>
    <t>508060</t>
  </si>
  <si>
    <t>1005</t>
  </si>
  <si>
    <t xml:space="preserve">  112 Maple St  </t>
  </si>
  <si>
    <t>78704</t>
  </si>
  <si>
    <t>$245,574</t>
  </si>
  <si>
    <t>1009</t>
  </si>
  <si>
    <t xml:space="preserve">  124 Oak Ave  </t>
  </si>
  <si>
    <t>austin</t>
  </si>
  <si>
    <t>78708</t>
  </si>
  <si>
    <t>$338,741</t>
  </si>
  <si>
    <t>1008</t>
  </si>
  <si>
    <t xml:space="preserve">  121 Oak Ave  </t>
  </si>
  <si>
    <t>Fort Worth</t>
  </si>
  <si>
    <t>78707</t>
  </si>
  <si>
    <t>316425</t>
  </si>
  <si>
    <t>1010</t>
  </si>
  <si>
    <t xml:space="preserve">  127 Willow Ct  </t>
  </si>
  <si>
    <t xml:space="preserve">  Houston  </t>
  </si>
  <si>
    <t>363477</t>
  </si>
  <si>
    <t>1017</t>
  </si>
  <si>
    <t xml:space="preserve">  148 Pine Rd  </t>
  </si>
  <si>
    <t>78716</t>
  </si>
  <si>
    <t>$523,489</t>
  </si>
  <si>
    <t>1013</t>
  </si>
  <si>
    <t xml:space="preserve">  136 Birch Blvd  </t>
  </si>
  <si>
    <t>78712</t>
  </si>
  <si>
    <t>$428,525</t>
  </si>
  <si>
    <t>TownHouse</t>
  </si>
  <si>
    <t>1014</t>
  </si>
  <si>
    <t xml:space="preserve">  139 Oak Ave  </t>
  </si>
  <si>
    <t>78713</t>
  </si>
  <si>
    <t>454983</t>
  </si>
  <si>
    <t>Historical Sales Data (as received - unclean)</t>
  </si>
  <si>
    <t>Previous Sale Price</t>
  </si>
  <si>
    <t>$227,504</t>
  </si>
  <si>
    <t>2021-01-10</t>
  </si>
  <si>
    <t>407646</t>
  </si>
  <si>
    <t>10-Jan-2021</t>
  </si>
  <si>
    <t>133689</t>
  </si>
  <si>
    <t>01/10/2021</t>
  </si>
  <si>
    <t>$354,813</t>
  </si>
  <si>
    <t>$393,005</t>
  </si>
  <si>
    <t>206832</t>
  </si>
  <si>
    <t>290038</t>
  </si>
  <si>
    <t>165949</t>
  </si>
  <si>
    <t>334295</t>
  </si>
  <si>
    <t>$146,403</t>
  </si>
  <si>
    <t>252962</t>
  </si>
  <si>
    <t>453727</t>
  </si>
  <si>
    <t>$307,103</t>
  </si>
  <si>
    <t>$272,787</t>
  </si>
  <si>
    <t>Cleaned Property Data (every cell below is a formula pulling from Raw_Property_Data)</t>
  </si>
  <si>
    <t>Address (Cleaned)</t>
  </si>
  <si>
    <t>City (Cleaned)</t>
  </si>
  <si>
    <t>State (Cleaned)</t>
  </si>
  <si>
    <t>ZIP Code (Cleaned)</t>
  </si>
  <si>
    <t>Price (Cleaned)</t>
  </si>
  <si>
    <t>Property Type (Cleaned)</t>
  </si>
  <si>
    <t>Sale Date (Cleaned)</t>
  </si>
  <si>
    <t>Duplicate Check</t>
  </si>
  <si>
    <t>Missing ZIP Flag</t>
  </si>
  <si>
    <t>Final Cleaned &amp; Merged Property Data</t>
  </si>
  <si>
    <t>Previous Sale Date</t>
  </si>
  <si>
    <t>Price Increase</t>
  </si>
  <si>
    <t>Price Appreciation %</t>
  </si>
  <si>
    <t>Data Quality Check</t>
  </si>
  <si>
    <t>Duplicate Property IDs removed</t>
  </si>
  <si>
    <t>Missing ZIP codes (now 'Unknown')</t>
  </si>
  <si>
    <t>Properties with no historical match ('Not Found')</t>
  </si>
  <si>
    <t>Total final (deduplicated) properties</t>
  </si>
  <si>
    <t>Analyze a massive unstructured dataset of a property list for Manresa Real Estate. Student must use Power Query to remove the duplicates and handle the missing zip code, and standardize text formatting, and use to VLOOKUP and XLOOKUP to merge a properly data with historical sale records.</t>
  </si>
  <si>
    <t>Keep/Remove flags the duplicate to drop (keeps the first occurrence, same as Power Query's Remove Duplicates).</t>
  </si>
  <si>
    <t xml:space="preserve">Duplicates removed, blanks handled, text standardized, merged with Historical_Sales.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</si>
</sst>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mm/dd/yyyy"/>
    <numFmt numFmtId="166" formatCode="\$#,##0;&quot;($&quot;#,##0\)"/>
    <numFmt numFmtId="167" formatCode="0.0%"/>
  </numFmts>
  <fonts count="17" x14ac:knownFonts="1">
    <font>
      <sz val="11"/>
      <color theme="1"/>
      <name val="Calibri"/>
      <family val="2"/>
      <charset val="1"/>
    </font>
    <font>
      <b/>
      <sz val="14"/>
      <color rgb="FF1F4E78"/>
      <name val="Arial"/>
      <charset val="1"/>
    </font>
    <font>
      <i/>
      <sz val="10"/>
      <color rgb="FF666666"/>
      <name val="Arial"/>
      <charset val="1"/>
    </font>
    <font>
      <b/>
      <sz val="11"/>
      <color rgb="FFFFFFFF"/>
      <name val="Arial"/>
      <charset val="1"/>
    </font>
    <font>
      <sz val="11"/>
      <name val="Arial"/>
      <charset val="1"/>
    </font>
    <font>
      <b/>
      <sz val="12"/>
      <name val="Arial"/>
      <charset val="1"/>
    </font>
    <font>
      <b/>
      <sz val="11"/>
      <name val="Arial"/>
      <charset val="1"/>
    </font>
    <font>
      <b/>
      <sz val="14"/>
      <name val="Arial"/>
      <family val="2"/>
    </font>
    <font>
      <sz val="11"/>
      <name val="Calibri"/>
      <family val="2"/>
      <charset val="1"/>
    </font>
    <font>
      <i/>
      <sz val="10"/>
      <name val="Arial"/>
      <family val="2"/>
    </font>
    <font>
      <b/>
      <sz val="11"/>
      <name val="Arial"/>
      <family val="2"/>
    </font>
    <font>
      <sz val="11"/>
      <name val="Arial"/>
      <family val="2"/>
    </font>
    <font>
      <sz val="11"/>
      <color theme="0"/>
      <name val="Arial"/>
      <family val="2"/>
    </font>
    <font>
      <sz val="10"/>
      <name val="Arial"/>
      <family val="2"/>
    </font>
    <font>
      <b/>
      <sz val="11"/>
      <color rgb="FFFFFFFF"/>
      <name val="Arial"/>
      <family val="2"/>
    </font>
    <font>
      <sz val="10"/>
      <color rgb="FF666666"/>
      <name val="Arial"/>
      <family val="2"/>
    </font>
    <font>
      <b/>
      <sz val="14"/>
      <color rgb="FF1F4E78"/>
      <name val="Arial"/>
      <family val="2"/>
    </font>
  </fonts>
  <fills count="9">
    <fill>
      <patternFill patternType="none"/>
    </fill>
    <fill>
      <patternFill patternType="gray125"/>
    </fill>
    <fill>
      <patternFill patternType="solid">
        <fgColor theme="0"/>
        <bgColor indexed="64"/>
      </patternFill>
    </fill>
    <fill>
      <patternFill patternType="solid">
        <fgColor theme="0"/>
        <bgColor rgb="FF003300"/>
      </patternFill>
    </fill>
    <fill>
      <patternFill patternType="solid">
        <fgColor theme="2" tint="-0.499984740745262"/>
        <bgColor indexed="64"/>
      </patternFill>
    </fill>
    <fill>
      <patternFill patternType="solid">
        <fgColor theme="4"/>
        <bgColor rgb="FF003300"/>
      </patternFill>
    </fill>
    <fill>
      <patternFill patternType="solid">
        <fgColor theme="9" tint="0.79998168889431442"/>
        <bgColor indexed="64"/>
      </patternFill>
    </fill>
    <fill>
      <patternFill patternType="solid">
        <fgColor theme="8"/>
        <bgColor rgb="FF003300"/>
      </patternFill>
    </fill>
    <fill>
      <patternFill patternType="solid">
        <fgColor theme="8"/>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8">
    <xf numFmtId="0" fontId="0" fillId="0" borderId="0" xfId="0"/>
    <xf numFmtId="0" fontId="1" fillId="0" borderId="0" xfId="0" applyFont="1"/>
    <xf numFmtId="0" fontId="4" fillId="0" borderId="1" xfId="0" applyFont="1" applyBorder="1"/>
    <xf numFmtId="164" fontId="4" fillId="0" borderId="1" xfId="0" applyNumberFormat="1" applyFont="1" applyBorder="1"/>
    <xf numFmtId="165" fontId="4" fillId="0" borderId="1" xfId="0" applyNumberFormat="1" applyFont="1" applyBorder="1"/>
    <xf numFmtId="166" fontId="4" fillId="0" borderId="1" xfId="0" applyNumberFormat="1" applyFont="1" applyBorder="1"/>
    <xf numFmtId="167" fontId="4" fillId="0" borderId="1" xfId="0" applyNumberFormat="1" applyFont="1" applyBorder="1"/>
    <xf numFmtId="0" fontId="5" fillId="0" borderId="0" xfId="0" applyFont="1"/>
    <xf numFmtId="0" fontId="4" fillId="0" borderId="0" xfId="0" applyFont="1"/>
    <xf numFmtId="0" fontId="6" fillId="0" borderId="0" xfId="0" applyFont="1"/>
    <xf numFmtId="0" fontId="7" fillId="2" borderId="0" xfId="0" applyFont="1" applyFill="1"/>
    <xf numFmtId="0" fontId="8" fillId="2" borderId="0" xfId="0" applyFont="1" applyFill="1"/>
    <xf numFmtId="0" fontId="10" fillId="3" borderId="0" xfId="0" applyFont="1" applyFill="1" applyAlignment="1">
      <alignment horizontal="center" wrapText="1"/>
    </xf>
    <xf numFmtId="0" fontId="11" fillId="2" borderId="1" xfId="0" applyFont="1" applyFill="1" applyBorder="1"/>
    <xf numFmtId="0" fontId="7" fillId="0" borderId="0" xfId="0" applyFont="1"/>
    <xf numFmtId="0" fontId="8" fillId="0" borderId="0" xfId="0" applyFont="1"/>
    <xf numFmtId="0" fontId="12" fillId="4" borderId="1" xfId="0" applyFont="1" applyFill="1" applyBorder="1"/>
    <xf numFmtId="0" fontId="14" fillId="5" borderId="0" xfId="0" applyFont="1" applyFill="1" applyAlignment="1">
      <alignment horizontal="center" wrapText="1"/>
    </xf>
    <xf numFmtId="0" fontId="3" fillId="5" borderId="0" xfId="0" applyFont="1" applyFill="1" applyAlignment="1">
      <alignment horizontal="center" wrapText="1"/>
    </xf>
    <xf numFmtId="0" fontId="16" fillId="0" borderId="0" xfId="0" applyFont="1"/>
    <xf numFmtId="0" fontId="3" fillId="7" borderId="0" xfId="0" applyFont="1" applyFill="1" applyAlignment="1">
      <alignment horizontal="center" wrapText="1"/>
    </xf>
    <xf numFmtId="0" fontId="0" fillId="8" borderId="0" xfId="0" applyFill="1"/>
    <xf numFmtId="0" fontId="13" fillId="2" borderId="0" xfId="0" applyFont="1" applyFill="1" applyAlignment="1">
      <alignment wrapText="1"/>
    </xf>
    <xf numFmtId="0" fontId="9" fillId="2" borderId="0" xfId="0" applyFont="1" applyFill="1" applyAlignment="1">
      <alignment wrapText="1"/>
    </xf>
    <xf numFmtId="0" fontId="9" fillId="0" borderId="0" xfId="0" applyFont="1" applyAlignment="1">
      <alignment wrapText="1"/>
    </xf>
    <xf numFmtId="0" fontId="15" fillId="6" borderId="0" xfId="0" applyFont="1" applyFill="1" applyAlignment="1">
      <alignment wrapText="1"/>
    </xf>
    <xf numFmtId="0" fontId="15" fillId="0" borderId="0" xfId="0" applyFont="1" applyAlignment="1">
      <alignment wrapText="1"/>
    </xf>
    <xf numFmtId="0" fontId="2" fillId="0" borderId="0" xfId="0" applyFont="1" applyAlignment="1">
      <alignment wrapText="1"/>
    </xf>
  </cellXfs>
  <cellStyles count="1">
    <cellStyle name="Normal" xfId="0" builtinId="0"/>
  </cellStyles>
  <dxfs count="18">
    <dxf>
      <fill>
        <patternFill patternType="solid">
          <bgColor theme="8"/>
        </patternFill>
      </fill>
    </dxf>
    <dxf>
      <fill>
        <patternFill patternType="solid">
          <fgColor rgb="FF003300"/>
          <bgColor theme="4"/>
        </patternFill>
      </fill>
    </dxf>
    <dxf>
      <font>
        <strike val="0"/>
        <outline val="0"/>
        <shadow val="0"/>
        <u val="none"/>
        <vertAlign val="baseline"/>
        <sz val="11"/>
        <color theme="0"/>
        <name val="Arial"/>
        <family val="2"/>
        <scheme val="none"/>
      </font>
      <fill>
        <patternFill patternType="solid">
          <fgColor indexed="64"/>
          <bgColor theme="2" tint="-0.499984740745262"/>
        </patternFill>
      </fill>
    </dxf>
    <dxf>
      <font>
        <strike val="0"/>
        <outline val="0"/>
        <shadow val="0"/>
        <u val="none"/>
        <vertAlign val="baseline"/>
        <sz val="11"/>
        <color theme="0"/>
        <name val="Arial"/>
        <family val="2"/>
        <scheme val="none"/>
      </font>
      <fill>
        <patternFill patternType="solid">
          <fgColor indexed="64"/>
          <bgColor theme="2" tint="-0.499984740745262"/>
        </patternFill>
      </fill>
    </dxf>
    <dxf>
      <font>
        <strike val="0"/>
        <outline val="0"/>
        <shadow val="0"/>
        <u val="none"/>
        <vertAlign val="baseline"/>
        <sz val="11"/>
        <color theme="0"/>
        <name val="Arial"/>
        <family val="2"/>
        <scheme val="none"/>
      </font>
      <fill>
        <patternFill patternType="solid">
          <fgColor indexed="64"/>
          <bgColor theme="2" tint="-0.499984740745262"/>
        </patternFill>
      </fill>
    </dxf>
    <dxf>
      <font>
        <strike val="0"/>
        <outline val="0"/>
        <shadow val="0"/>
        <u val="none"/>
        <vertAlign val="baseline"/>
        <sz val="11"/>
        <color theme="0"/>
        <name val="Arial"/>
        <family val="2"/>
        <scheme val="none"/>
      </font>
      <fill>
        <patternFill patternType="solid">
          <fgColor indexed="64"/>
          <bgColor theme="2" tint="-0.499984740745262"/>
        </patternFill>
      </fill>
    </dxf>
    <dxf>
      <font>
        <strike val="0"/>
        <outline val="0"/>
        <shadow val="0"/>
        <u val="none"/>
        <vertAlign val="baseline"/>
        <color auto="1"/>
      </font>
      <fill>
        <patternFill patternType="solid">
          <fgColor rgb="FF003300"/>
          <bgColor theme="0"/>
        </patternFill>
      </fill>
    </dxf>
    <dxf>
      <font>
        <strike val="0"/>
        <outline val="0"/>
        <shadow val="0"/>
        <u val="none"/>
        <vertAlign val="baseline"/>
        <color auto="1"/>
      </font>
      <fill>
        <patternFill patternType="solid">
          <bgColor theme="0"/>
        </patternFill>
      </fill>
    </dxf>
    <dxf>
      <font>
        <strike val="0"/>
        <outline val="0"/>
        <shadow val="0"/>
        <u val="none"/>
        <vertAlign val="baseline"/>
        <color auto="1"/>
      </font>
      <fill>
        <patternFill patternType="solid">
          <bgColor theme="0"/>
        </patternFill>
      </fill>
    </dxf>
    <dxf>
      <font>
        <strike val="0"/>
        <outline val="0"/>
        <shadow val="0"/>
        <u val="none"/>
        <vertAlign val="baseline"/>
        <color auto="1"/>
      </font>
      <fill>
        <patternFill patternType="solid">
          <bgColor theme="0"/>
        </patternFill>
      </fill>
    </dxf>
    <dxf>
      <font>
        <strike val="0"/>
        <outline val="0"/>
        <shadow val="0"/>
        <u val="none"/>
        <vertAlign val="baseline"/>
        <color auto="1"/>
      </font>
      <fill>
        <patternFill patternType="solid">
          <bgColor theme="0"/>
        </patternFill>
      </fill>
    </dxf>
    <dxf>
      <font>
        <strike val="0"/>
        <outline val="0"/>
        <shadow val="0"/>
        <u val="none"/>
        <vertAlign val="baseline"/>
        <color auto="1"/>
      </font>
      <fill>
        <patternFill patternType="solid">
          <bgColor theme="0"/>
        </patternFill>
      </fill>
    </dxf>
    <dxf>
      <font>
        <strike val="0"/>
        <outline val="0"/>
        <shadow val="0"/>
        <u val="none"/>
        <vertAlign val="baseline"/>
        <color auto="1"/>
      </font>
      <fill>
        <patternFill patternType="solid">
          <bgColor theme="0"/>
        </patternFill>
      </fill>
    </dxf>
    <dxf>
      <font>
        <strike val="0"/>
        <outline val="0"/>
        <shadow val="0"/>
        <u val="none"/>
        <vertAlign val="baseline"/>
        <color auto="1"/>
      </font>
      <fill>
        <patternFill patternType="solid">
          <bgColor theme="0"/>
        </patternFill>
      </fill>
    </dxf>
    <dxf>
      <font>
        <strike val="0"/>
        <outline val="0"/>
        <shadow val="0"/>
        <u val="none"/>
        <vertAlign val="baseline"/>
        <color auto="1"/>
      </font>
      <fill>
        <patternFill patternType="solid">
          <bgColor theme="0"/>
        </patternFill>
      </fill>
    </dxf>
    <dxf>
      <font>
        <strike val="0"/>
        <outline val="0"/>
        <shadow val="0"/>
        <u val="none"/>
        <vertAlign val="baseline"/>
        <color auto="1"/>
        <name val="Arial"/>
        <family val="2"/>
        <scheme val="none"/>
      </font>
      <fill>
        <patternFill patternType="solid">
          <fgColor indexed="64"/>
          <bgColor theme="0"/>
        </patternFill>
      </fill>
      <border diagonalUp="0" diagonalDown="0">
        <left style="thin">
          <color rgb="FFCCCCCC"/>
        </left>
        <right style="thin">
          <color rgb="FFCCCCCC"/>
        </right>
        <top style="thin">
          <color rgb="FFCCCCCC"/>
        </top>
        <bottom style="thin">
          <color rgb="FFCCCCCC"/>
        </bottom>
        <vertical/>
        <horizontal/>
      </border>
    </dxf>
    <dxf>
      <font>
        <strike val="0"/>
        <outline val="0"/>
        <shadow val="0"/>
        <u val="none"/>
        <vertAlign val="baseline"/>
        <color auto="1"/>
      </font>
      <fill>
        <patternFill patternType="solid">
          <bgColor theme="0"/>
        </patternFill>
      </fill>
    </dxf>
    <dxf>
      <font>
        <strike val="0"/>
        <outline val="0"/>
        <shadow val="0"/>
        <u val="none"/>
        <vertAlign val="baseline"/>
        <color auto="1"/>
      </font>
      <fill>
        <patternFill patternType="solid">
          <bgColor theme="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PropertyData" displayName="PropertyData" ref="A4:I24" totalsRowShown="0" headerRowDxfId="17" dataDxfId="16">
  <autoFilter ref="A4:I24" xr:uid="{00000000-0009-0000-0100-000004000000}"/>
  <tableColumns count="9">
    <tableColumn id="1" xr3:uid="{00000000-0010-0000-0000-000001000000}" name="Property ID" dataDxfId="15"/>
    <tableColumn id="2" xr3:uid="{00000000-0010-0000-0000-000002000000}" name="Address" dataDxfId="14"/>
    <tableColumn id="3" xr3:uid="{00000000-0010-0000-0000-000003000000}" name="City" dataDxfId="13"/>
    <tableColumn id="4" xr3:uid="{00000000-0010-0000-0000-000004000000}" name="State" dataDxfId="12"/>
    <tableColumn id="5" xr3:uid="{00000000-0010-0000-0000-000005000000}" name="ZIP Code" dataDxfId="11"/>
    <tableColumn id="6" xr3:uid="{00000000-0010-0000-0000-000006000000}" name="Price" dataDxfId="10"/>
    <tableColumn id="7" xr3:uid="{00000000-0010-0000-0000-000007000000}" name="Bedrooms" dataDxfId="9"/>
    <tableColumn id="8" xr3:uid="{00000000-0010-0000-0000-000008000000}" name="Property Type" dataDxfId="8"/>
    <tableColumn id="9" xr3:uid="{00000000-0010-0000-0000-000009000000}" name="Sale Date" dataDxfId="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HistoricalSales" displayName="HistoricalSales" ref="A4:C18" totalsRowShown="0" headerRowDxfId="6" dataDxfId="5">
  <autoFilter ref="A4:C18" xr:uid="{00000000-0009-0000-0100-000003000000}"/>
  <tableColumns count="3">
    <tableColumn id="1" xr3:uid="{00000000-0010-0000-0100-000001000000}" name="Property ID" dataDxfId="4"/>
    <tableColumn id="2" xr3:uid="{00000000-0010-0000-0100-000002000000}" name="Previous Sale Price" dataDxfId="3"/>
    <tableColumn id="3" xr3:uid="{00000000-0010-0000-0100-000003000000}" name="Sale Date" dataDxfId="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CleanedData" displayName="CleanedData" ref="A4:K24" totalsRowShown="0" headerRowDxfId="1">
  <autoFilter ref="A4:K24" xr:uid="{00000000-0009-0000-0100-000001000000}"/>
  <tableColumns count="11">
    <tableColumn id="1" xr3:uid="{00000000-0010-0000-0200-000001000000}" name="Property ID"/>
    <tableColumn id="2" xr3:uid="{00000000-0010-0000-0200-000002000000}" name="Address (Cleaned)"/>
    <tableColumn id="3" xr3:uid="{00000000-0010-0000-0200-000003000000}" name="City (Cleaned)"/>
    <tableColumn id="4" xr3:uid="{00000000-0010-0000-0200-000004000000}" name="State (Cleaned)"/>
    <tableColumn id="5" xr3:uid="{00000000-0010-0000-0200-000005000000}" name="ZIP Code (Cleaned)"/>
    <tableColumn id="6" xr3:uid="{00000000-0010-0000-0200-000006000000}" name="Price (Cleaned)"/>
    <tableColumn id="7" xr3:uid="{00000000-0010-0000-0200-000007000000}" name="Bedrooms"/>
    <tableColumn id="8" xr3:uid="{00000000-0010-0000-0200-000008000000}" name="Property Type (Cleaned)"/>
    <tableColumn id="9" xr3:uid="{00000000-0010-0000-0200-000009000000}" name="Sale Date (Cleaned)"/>
    <tableColumn id="10" xr3:uid="{00000000-0010-0000-0200-00000A000000}" name="Duplicate Check"/>
    <tableColumn id="11" xr3:uid="{00000000-0010-0000-0200-00000B000000}" name="Missing ZIP Flag"/>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FinalData" displayName="FinalData" ref="A4:M21" totalsRowShown="0" headerRowDxfId="0">
  <autoFilter ref="A4:M21" xr:uid="{00000000-0009-0000-0100-000002000000}"/>
  <tableColumns count="13">
    <tableColumn id="1" xr3:uid="{00000000-0010-0000-0300-000001000000}" name="Property ID"/>
    <tableColumn id="2" xr3:uid="{00000000-0010-0000-0300-000002000000}" name="Address"/>
    <tableColumn id="3" xr3:uid="{00000000-0010-0000-0300-000003000000}" name="City"/>
    <tableColumn id="4" xr3:uid="{00000000-0010-0000-0300-000004000000}" name="State"/>
    <tableColumn id="5" xr3:uid="{00000000-0010-0000-0300-000005000000}" name="ZIP Code"/>
    <tableColumn id="6" xr3:uid="{00000000-0010-0000-0300-000006000000}" name="Property Type"/>
    <tableColumn id="7" xr3:uid="{00000000-0010-0000-0300-000007000000}" name="Bedrooms"/>
    <tableColumn id="8" xr3:uid="{00000000-0010-0000-0300-000008000000}" name="Price"/>
    <tableColumn id="9" xr3:uid="{00000000-0010-0000-0300-000009000000}" name="Sale Date"/>
    <tableColumn id="10" xr3:uid="{00000000-0010-0000-0300-00000A000000}" name="Previous Sale Price"/>
    <tableColumn id="11" xr3:uid="{00000000-0010-0000-0300-00000B000000}" name="Previous Sale Date"/>
    <tableColumn id="12" xr3:uid="{00000000-0010-0000-0300-00000C000000}" name="Price Increase"/>
    <tableColumn id="13" xr3:uid="{00000000-0010-0000-0300-00000D000000}" name="Price Appreciation %"/>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
  <sheetViews>
    <sheetView tabSelected="1" zoomScaleNormal="100" workbookViewId="0">
      <pane ySplit="4" topLeftCell="A5" activePane="bottomLeft" state="frozen"/>
      <selection pane="bottomLeft" activeCell="B27" sqref="B27"/>
    </sheetView>
  </sheetViews>
  <sheetFormatPr defaultColWidth="8.6640625" defaultRowHeight="14.4" x14ac:dyDescent="0.3"/>
  <cols>
    <col min="1" max="1" width="12" customWidth="1"/>
    <col min="2" max="2" width="26" customWidth="1"/>
    <col min="3" max="3" width="18.44140625" customWidth="1"/>
    <col min="4" max="4" width="12.33203125" customWidth="1"/>
    <col min="5" max="5" width="14.6640625" customWidth="1"/>
    <col min="6" max="6" width="17.6640625" customWidth="1"/>
    <col min="7" max="7" width="12.44140625" customWidth="1"/>
    <col min="8" max="8" width="18.77734375" customWidth="1"/>
    <col min="9" max="9" width="17.6640625" customWidth="1"/>
  </cols>
  <sheetData>
    <row r="1" spans="1:9" ht="17.399999999999999" x14ac:dyDescent="0.3">
      <c r="A1" s="10" t="s">
        <v>0</v>
      </c>
      <c r="B1" s="11"/>
      <c r="C1" s="11"/>
      <c r="D1" s="11"/>
      <c r="E1" s="11"/>
      <c r="F1" s="11"/>
      <c r="G1" s="11"/>
      <c r="H1" s="11"/>
      <c r="I1" s="11"/>
    </row>
    <row r="2" spans="1:9" ht="23.85" customHeight="1" x14ac:dyDescent="0.3">
      <c r="A2" s="22" t="s">
        <v>138</v>
      </c>
      <c r="B2" s="23"/>
      <c r="C2" s="23"/>
      <c r="D2" s="23"/>
      <c r="E2" s="23"/>
      <c r="F2" s="23"/>
      <c r="G2" s="23"/>
      <c r="H2" s="23"/>
      <c r="I2" s="23"/>
    </row>
    <row r="3" spans="1:9" x14ac:dyDescent="0.3">
      <c r="A3" s="22"/>
      <c r="B3" s="23"/>
      <c r="C3" s="23"/>
      <c r="D3" s="23"/>
      <c r="E3" s="23"/>
      <c r="F3" s="23"/>
      <c r="G3" s="23"/>
      <c r="H3" s="23"/>
      <c r="I3" s="23"/>
    </row>
    <row r="4" spans="1:9" x14ac:dyDescent="0.3">
      <c r="A4" s="12" t="s">
        <v>1</v>
      </c>
      <c r="B4" s="12" t="s">
        <v>2</v>
      </c>
      <c r="C4" s="12" t="s">
        <v>3</v>
      </c>
      <c r="D4" s="12" t="s">
        <v>4</v>
      </c>
      <c r="E4" s="12" t="s">
        <v>5</v>
      </c>
      <c r="F4" s="12" t="s">
        <v>6</v>
      </c>
      <c r="G4" s="12" t="s">
        <v>7</v>
      </c>
      <c r="H4" s="12" t="s">
        <v>8</v>
      </c>
      <c r="I4" s="12" t="s">
        <v>9</v>
      </c>
    </row>
    <row r="5" spans="1:9" x14ac:dyDescent="0.3">
      <c r="A5" s="13" t="s">
        <v>10</v>
      </c>
      <c r="B5" s="13" t="s">
        <v>11</v>
      </c>
      <c r="C5" s="13" t="s">
        <v>12</v>
      </c>
      <c r="D5" s="13" t="s">
        <v>13</v>
      </c>
      <c r="E5" s="13" t="s">
        <v>14</v>
      </c>
      <c r="F5" s="13" t="s">
        <v>15</v>
      </c>
      <c r="G5" s="13" t="s">
        <v>16</v>
      </c>
      <c r="H5" s="13" t="s">
        <v>17</v>
      </c>
      <c r="I5" s="13" t="s">
        <v>18</v>
      </c>
    </row>
    <row r="6" spans="1:9" x14ac:dyDescent="0.3">
      <c r="A6" s="13" t="s">
        <v>19</v>
      </c>
      <c r="B6" s="13" t="s">
        <v>20</v>
      </c>
      <c r="C6" s="13" t="s">
        <v>21</v>
      </c>
      <c r="D6" s="13" t="s">
        <v>13</v>
      </c>
      <c r="E6" s="13" t="s">
        <v>22</v>
      </c>
      <c r="F6" s="13" t="s">
        <v>23</v>
      </c>
      <c r="G6" s="13" t="s">
        <v>24</v>
      </c>
      <c r="H6" s="13" t="s">
        <v>25</v>
      </c>
      <c r="I6" s="13" t="s">
        <v>18</v>
      </c>
    </row>
    <row r="7" spans="1:9" x14ac:dyDescent="0.3">
      <c r="A7" s="13" t="s">
        <v>26</v>
      </c>
      <c r="B7" s="13" t="s">
        <v>27</v>
      </c>
      <c r="C7" s="13" t="s">
        <v>28</v>
      </c>
      <c r="D7" s="13" t="s">
        <v>13</v>
      </c>
      <c r="E7" s="13" t="s">
        <v>29</v>
      </c>
      <c r="F7" s="13" t="s">
        <v>30</v>
      </c>
      <c r="G7" s="13" t="s">
        <v>31</v>
      </c>
      <c r="H7" s="13" t="s">
        <v>17</v>
      </c>
      <c r="I7" s="13" t="s">
        <v>32</v>
      </c>
    </row>
    <row r="8" spans="1:9" x14ac:dyDescent="0.3">
      <c r="A8" s="13" t="s">
        <v>33</v>
      </c>
      <c r="B8" s="13" t="s">
        <v>34</v>
      </c>
      <c r="C8" s="13" t="s">
        <v>35</v>
      </c>
      <c r="D8" s="13" t="s">
        <v>13</v>
      </c>
      <c r="E8" s="13"/>
      <c r="F8" s="13" t="s">
        <v>36</v>
      </c>
      <c r="G8" s="13" t="s">
        <v>31</v>
      </c>
      <c r="H8" s="13" t="s">
        <v>17</v>
      </c>
      <c r="I8" s="13" t="s">
        <v>32</v>
      </c>
    </row>
    <row r="9" spans="1:9" x14ac:dyDescent="0.3">
      <c r="A9" s="13" t="s">
        <v>37</v>
      </c>
      <c r="B9" s="13" t="s">
        <v>38</v>
      </c>
      <c r="C9" s="13" t="s">
        <v>39</v>
      </c>
      <c r="D9" s="13" t="s">
        <v>13</v>
      </c>
      <c r="E9" s="13"/>
      <c r="F9" s="13" t="s">
        <v>40</v>
      </c>
      <c r="G9" s="13" t="s">
        <v>41</v>
      </c>
      <c r="H9" s="13" t="s">
        <v>42</v>
      </c>
      <c r="I9" s="13" t="s">
        <v>32</v>
      </c>
    </row>
    <row r="10" spans="1:9" x14ac:dyDescent="0.3">
      <c r="A10" s="13" t="s">
        <v>26</v>
      </c>
      <c r="B10" s="13" t="s">
        <v>27</v>
      </c>
      <c r="C10" s="13" t="s">
        <v>28</v>
      </c>
      <c r="D10" s="13" t="s">
        <v>13</v>
      </c>
      <c r="E10" s="13" t="s">
        <v>29</v>
      </c>
      <c r="F10" s="13" t="s">
        <v>30</v>
      </c>
      <c r="G10" s="13" t="s">
        <v>31</v>
      </c>
      <c r="H10" s="13" t="s">
        <v>17</v>
      </c>
      <c r="I10" s="13" t="s">
        <v>32</v>
      </c>
    </row>
    <row r="11" spans="1:9" x14ac:dyDescent="0.3">
      <c r="A11" s="13" t="s">
        <v>43</v>
      </c>
      <c r="B11" s="13" t="s">
        <v>44</v>
      </c>
      <c r="C11" s="13" t="s">
        <v>28</v>
      </c>
      <c r="D11" s="13" t="s">
        <v>13</v>
      </c>
      <c r="E11" s="13" t="s">
        <v>45</v>
      </c>
      <c r="F11" s="13" t="s">
        <v>46</v>
      </c>
      <c r="G11" s="13" t="s">
        <v>41</v>
      </c>
      <c r="H11" s="13" t="s">
        <v>42</v>
      </c>
      <c r="I11" s="13" t="s">
        <v>18</v>
      </c>
    </row>
    <row r="12" spans="1:9" x14ac:dyDescent="0.3">
      <c r="A12" s="13" t="s">
        <v>47</v>
      </c>
      <c r="B12" s="13" t="s">
        <v>48</v>
      </c>
      <c r="C12" s="13" t="s">
        <v>49</v>
      </c>
      <c r="D12" s="13" t="s">
        <v>13</v>
      </c>
      <c r="E12" s="13" t="s">
        <v>50</v>
      </c>
      <c r="F12" s="13" t="s">
        <v>51</v>
      </c>
      <c r="G12" s="13" t="s">
        <v>31</v>
      </c>
      <c r="H12" s="13" t="s">
        <v>17</v>
      </c>
      <c r="I12" s="13" t="s">
        <v>52</v>
      </c>
    </row>
    <row r="13" spans="1:9" x14ac:dyDescent="0.3">
      <c r="A13" s="13" t="s">
        <v>53</v>
      </c>
      <c r="B13" s="13" t="s">
        <v>54</v>
      </c>
      <c r="C13" s="13" t="s">
        <v>55</v>
      </c>
      <c r="D13" s="13" t="s">
        <v>13</v>
      </c>
      <c r="E13" s="13" t="s">
        <v>56</v>
      </c>
      <c r="F13" s="13" t="s">
        <v>57</v>
      </c>
      <c r="G13" s="13" t="s">
        <v>16</v>
      </c>
      <c r="H13" s="13" t="s">
        <v>42</v>
      </c>
      <c r="I13" s="13" t="s">
        <v>52</v>
      </c>
    </row>
    <row r="14" spans="1:9" x14ac:dyDescent="0.3">
      <c r="A14" s="13" t="s">
        <v>58</v>
      </c>
      <c r="B14" s="13" t="s">
        <v>59</v>
      </c>
      <c r="C14" s="13" t="s">
        <v>60</v>
      </c>
      <c r="D14" s="13" t="s">
        <v>61</v>
      </c>
      <c r="E14" s="13" t="s">
        <v>62</v>
      </c>
      <c r="F14" s="13" t="s">
        <v>63</v>
      </c>
      <c r="G14" s="13" t="s">
        <v>31</v>
      </c>
      <c r="H14" s="13" t="s">
        <v>64</v>
      </c>
      <c r="I14" s="13" t="s">
        <v>32</v>
      </c>
    </row>
    <row r="15" spans="1:9" x14ac:dyDescent="0.3">
      <c r="A15" s="13" t="s">
        <v>65</v>
      </c>
      <c r="B15" s="13" t="s">
        <v>66</v>
      </c>
      <c r="C15" s="13" t="s">
        <v>12</v>
      </c>
      <c r="D15" s="13" t="s">
        <v>13</v>
      </c>
      <c r="E15" s="13" t="s">
        <v>67</v>
      </c>
      <c r="F15" s="13" t="s">
        <v>68</v>
      </c>
      <c r="G15" s="13" t="s">
        <v>16</v>
      </c>
      <c r="H15" s="13" t="s">
        <v>25</v>
      </c>
      <c r="I15" s="13" t="s">
        <v>52</v>
      </c>
    </row>
    <row r="16" spans="1:9" x14ac:dyDescent="0.3">
      <c r="A16" s="13" t="s">
        <v>69</v>
      </c>
      <c r="B16" s="13" t="s">
        <v>70</v>
      </c>
      <c r="C16" s="13" t="s">
        <v>49</v>
      </c>
      <c r="D16" s="13" t="s">
        <v>61</v>
      </c>
      <c r="E16" s="13" t="s">
        <v>71</v>
      </c>
      <c r="F16" s="13" t="s">
        <v>72</v>
      </c>
      <c r="G16" s="13" t="s">
        <v>31</v>
      </c>
      <c r="H16" s="13" t="s">
        <v>64</v>
      </c>
      <c r="I16" s="13" t="s">
        <v>52</v>
      </c>
    </row>
    <row r="17" spans="1:9" x14ac:dyDescent="0.3">
      <c r="A17" s="13" t="s">
        <v>73</v>
      </c>
      <c r="B17" s="13" t="s">
        <v>74</v>
      </c>
      <c r="C17" s="13" t="s">
        <v>75</v>
      </c>
      <c r="D17" s="13" t="s">
        <v>61</v>
      </c>
      <c r="E17" s="13" t="s">
        <v>76</v>
      </c>
      <c r="F17" s="13" t="s">
        <v>77</v>
      </c>
      <c r="G17" s="13" t="s">
        <v>24</v>
      </c>
      <c r="H17" s="13" t="s">
        <v>64</v>
      </c>
      <c r="I17" s="13" t="s">
        <v>52</v>
      </c>
    </row>
    <row r="18" spans="1:9" x14ac:dyDescent="0.3">
      <c r="A18" s="13" t="s">
        <v>78</v>
      </c>
      <c r="B18" s="13" t="s">
        <v>79</v>
      </c>
      <c r="C18" s="13" t="s">
        <v>80</v>
      </c>
      <c r="D18" s="13" t="s">
        <v>13</v>
      </c>
      <c r="E18" s="13" t="s">
        <v>81</v>
      </c>
      <c r="F18" s="13" t="s">
        <v>82</v>
      </c>
      <c r="G18" s="13" t="s">
        <v>41</v>
      </c>
      <c r="H18" s="13" t="s">
        <v>64</v>
      </c>
      <c r="I18" s="13" t="s">
        <v>32</v>
      </c>
    </row>
    <row r="19" spans="1:9" x14ac:dyDescent="0.3">
      <c r="A19" s="13" t="s">
        <v>83</v>
      </c>
      <c r="B19" s="13" t="s">
        <v>84</v>
      </c>
      <c r="C19" s="13" t="s">
        <v>85</v>
      </c>
      <c r="D19" s="13" t="s">
        <v>13</v>
      </c>
      <c r="E19" s="13"/>
      <c r="F19" s="13" t="s">
        <v>86</v>
      </c>
      <c r="G19" s="13" t="s">
        <v>31</v>
      </c>
      <c r="H19" s="13" t="s">
        <v>25</v>
      </c>
      <c r="I19" s="13" t="s">
        <v>18</v>
      </c>
    </row>
    <row r="20" spans="1:9" x14ac:dyDescent="0.3">
      <c r="A20" s="13" t="s">
        <v>87</v>
      </c>
      <c r="B20" s="13" t="s">
        <v>88</v>
      </c>
      <c r="C20" s="13" t="s">
        <v>12</v>
      </c>
      <c r="D20" s="13" t="s">
        <v>61</v>
      </c>
      <c r="E20" s="13" t="s">
        <v>89</v>
      </c>
      <c r="F20" s="13" t="s">
        <v>90</v>
      </c>
      <c r="G20" s="13" t="s">
        <v>24</v>
      </c>
      <c r="H20" s="13" t="s">
        <v>42</v>
      </c>
      <c r="I20" s="13" t="s">
        <v>52</v>
      </c>
    </row>
    <row r="21" spans="1:9" x14ac:dyDescent="0.3">
      <c r="A21" s="13" t="s">
        <v>91</v>
      </c>
      <c r="B21" s="13" t="s">
        <v>92</v>
      </c>
      <c r="C21" s="13" t="s">
        <v>75</v>
      </c>
      <c r="D21" s="13" t="s">
        <v>61</v>
      </c>
      <c r="E21" s="13" t="s">
        <v>93</v>
      </c>
      <c r="F21" s="13" t="s">
        <v>94</v>
      </c>
      <c r="G21" s="13" t="s">
        <v>31</v>
      </c>
      <c r="H21" s="13" t="s">
        <v>95</v>
      </c>
      <c r="I21" s="13" t="s">
        <v>18</v>
      </c>
    </row>
    <row r="22" spans="1:9" x14ac:dyDescent="0.3">
      <c r="A22" s="13" t="s">
        <v>37</v>
      </c>
      <c r="B22" s="13" t="s">
        <v>38</v>
      </c>
      <c r="C22" s="13" t="s">
        <v>39</v>
      </c>
      <c r="D22" s="13" t="s">
        <v>13</v>
      </c>
      <c r="E22" s="13"/>
      <c r="F22" s="13" t="s">
        <v>40</v>
      </c>
      <c r="G22" s="13" t="s">
        <v>41</v>
      </c>
      <c r="H22" s="13" t="s">
        <v>42</v>
      </c>
      <c r="I22" s="13" t="s">
        <v>32</v>
      </c>
    </row>
    <row r="23" spans="1:9" x14ac:dyDescent="0.3">
      <c r="A23" s="13" t="s">
        <v>96</v>
      </c>
      <c r="B23" s="13" t="s">
        <v>97</v>
      </c>
      <c r="C23" s="13" t="s">
        <v>35</v>
      </c>
      <c r="D23" s="13" t="s">
        <v>13</v>
      </c>
      <c r="E23" s="13" t="s">
        <v>98</v>
      </c>
      <c r="F23" s="13" t="s">
        <v>99</v>
      </c>
      <c r="G23" s="13" t="s">
        <v>16</v>
      </c>
      <c r="H23" s="13" t="s">
        <v>95</v>
      </c>
      <c r="I23" s="13" t="s">
        <v>32</v>
      </c>
    </row>
    <row r="24" spans="1:9" x14ac:dyDescent="0.3">
      <c r="A24" s="13" t="s">
        <v>19</v>
      </c>
      <c r="B24" s="13" t="s">
        <v>20</v>
      </c>
      <c r="C24" s="13" t="s">
        <v>21</v>
      </c>
      <c r="D24" s="13" t="s">
        <v>13</v>
      </c>
      <c r="E24" s="13" t="s">
        <v>22</v>
      </c>
      <c r="F24" s="13" t="s">
        <v>23</v>
      </c>
      <c r="G24" s="13" t="s">
        <v>24</v>
      </c>
      <c r="H24" s="13" t="s">
        <v>25</v>
      </c>
      <c r="I24" s="13" t="s">
        <v>18</v>
      </c>
    </row>
    <row r="25" spans="1:9" x14ac:dyDescent="0.3">
      <c r="A25" s="11"/>
      <c r="B25" s="11"/>
      <c r="C25" s="11"/>
      <c r="D25" s="11"/>
      <c r="E25" s="11"/>
      <c r="F25" s="11"/>
      <c r="G25" s="11"/>
      <c r="H25" s="11"/>
      <c r="I25" s="11"/>
    </row>
  </sheetData>
  <mergeCells count="2">
    <mergeCell ref="A2:I2"/>
    <mergeCell ref="A3:I3"/>
  </mergeCells>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0"/>
  <sheetViews>
    <sheetView zoomScaleNormal="100" workbookViewId="0">
      <pane ySplit="4" topLeftCell="A5" activePane="bottomLeft" state="frozen"/>
      <selection pane="bottomLeft" activeCell="E8" sqref="E8"/>
    </sheetView>
  </sheetViews>
  <sheetFormatPr defaultColWidth="8.6640625" defaultRowHeight="14.4" x14ac:dyDescent="0.3"/>
  <cols>
    <col min="1" max="1" width="12" customWidth="1"/>
    <col min="2" max="2" width="18" customWidth="1"/>
    <col min="3" max="3" width="14" customWidth="1"/>
  </cols>
  <sheetData>
    <row r="1" spans="1:5" ht="17.399999999999999" x14ac:dyDescent="0.3">
      <c r="A1" s="14" t="s">
        <v>100</v>
      </c>
      <c r="B1" s="15"/>
      <c r="C1" s="15"/>
      <c r="D1" s="15"/>
      <c r="E1" s="15"/>
    </row>
    <row r="2" spans="1:5" ht="46.2" customHeight="1" x14ac:dyDescent="0.3">
      <c r="A2" s="24"/>
      <c r="B2" s="24"/>
      <c r="C2" s="24"/>
      <c r="D2" s="15"/>
      <c r="E2" s="15"/>
    </row>
    <row r="3" spans="1:5" x14ac:dyDescent="0.3">
      <c r="A3" s="15"/>
      <c r="B3" s="15"/>
      <c r="C3" s="15"/>
      <c r="D3" s="15"/>
      <c r="E3" s="15"/>
    </row>
    <row r="4" spans="1:5" ht="28.2" x14ac:dyDescent="0.3">
      <c r="A4" s="12" t="s">
        <v>1</v>
      </c>
      <c r="B4" s="12" t="s">
        <v>101</v>
      </c>
      <c r="C4" s="12" t="s">
        <v>9</v>
      </c>
      <c r="D4" s="15"/>
      <c r="E4" s="15"/>
    </row>
    <row r="5" spans="1:5" x14ac:dyDescent="0.3">
      <c r="A5" s="16">
        <v>1006</v>
      </c>
      <c r="B5" s="16" t="s">
        <v>102</v>
      </c>
      <c r="C5" s="16" t="s">
        <v>103</v>
      </c>
      <c r="D5" s="15"/>
      <c r="E5" s="15"/>
    </row>
    <row r="6" spans="1:5" x14ac:dyDescent="0.3">
      <c r="A6" s="16" t="s">
        <v>33</v>
      </c>
      <c r="B6" s="16" t="s">
        <v>104</v>
      </c>
      <c r="C6" s="16" t="s">
        <v>105</v>
      </c>
      <c r="D6" s="15"/>
      <c r="E6" s="15"/>
    </row>
    <row r="7" spans="1:5" x14ac:dyDescent="0.3">
      <c r="A7" s="16" t="s">
        <v>58</v>
      </c>
      <c r="B7" s="16" t="s">
        <v>106</v>
      </c>
      <c r="C7" s="16" t="s">
        <v>107</v>
      </c>
      <c r="D7" s="15"/>
      <c r="E7" s="15"/>
    </row>
    <row r="8" spans="1:5" x14ac:dyDescent="0.3">
      <c r="A8" s="16" t="s">
        <v>47</v>
      </c>
      <c r="B8" s="16" t="s">
        <v>108</v>
      </c>
      <c r="C8" s="16" t="s">
        <v>103</v>
      </c>
      <c r="D8" s="15"/>
      <c r="E8" s="15"/>
    </row>
    <row r="9" spans="1:5" x14ac:dyDescent="0.3">
      <c r="A9" s="16" t="s">
        <v>96</v>
      </c>
      <c r="B9" s="16" t="s">
        <v>109</v>
      </c>
      <c r="C9" s="16" t="s">
        <v>107</v>
      </c>
      <c r="D9" s="15"/>
      <c r="E9" s="15"/>
    </row>
    <row r="10" spans="1:5" x14ac:dyDescent="0.3">
      <c r="A10" s="16" t="s">
        <v>69</v>
      </c>
      <c r="B10" s="16" t="s">
        <v>110</v>
      </c>
      <c r="C10" s="16" t="s">
        <v>103</v>
      </c>
      <c r="D10" s="15"/>
      <c r="E10" s="15"/>
    </row>
    <row r="11" spans="1:5" x14ac:dyDescent="0.3">
      <c r="A11" s="16" t="s">
        <v>73</v>
      </c>
      <c r="B11" s="16" t="s">
        <v>111</v>
      </c>
      <c r="C11" s="16" t="s">
        <v>107</v>
      </c>
      <c r="D11" s="15"/>
      <c r="E11" s="15"/>
    </row>
    <row r="12" spans="1:5" x14ac:dyDescent="0.3">
      <c r="A12" s="16" t="s">
        <v>37</v>
      </c>
      <c r="B12" s="16" t="s">
        <v>112</v>
      </c>
      <c r="C12" s="16" t="s">
        <v>107</v>
      </c>
      <c r="D12" s="15"/>
      <c r="E12" s="15"/>
    </row>
    <row r="13" spans="1:5" x14ac:dyDescent="0.3">
      <c r="A13" s="16" t="s">
        <v>26</v>
      </c>
      <c r="B13" s="16" t="s">
        <v>113</v>
      </c>
      <c r="C13" s="16" t="s">
        <v>107</v>
      </c>
      <c r="D13" s="15"/>
      <c r="E13" s="15"/>
    </row>
    <row r="14" spans="1:5" x14ac:dyDescent="0.3">
      <c r="A14" s="16" t="s">
        <v>53</v>
      </c>
      <c r="B14" s="16" t="s">
        <v>114</v>
      </c>
      <c r="C14" s="16" t="s">
        <v>105</v>
      </c>
      <c r="D14" s="15"/>
      <c r="E14" s="15"/>
    </row>
    <row r="15" spans="1:5" x14ac:dyDescent="0.3">
      <c r="A15" s="16" t="s">
        <v>43</v>
      </c>
      <c r="B15" s="16" t="s">
        <v>115</v>
      </c>
      <c r="C15" s="16" t="s">
        <v>107</v>
      </c>
      <c r="D15" s="15"/>
      <c r="E15" s="15"/>
    </row>
    <row r="16" spans="1:5" x14ac:dyDescent="0.3">
      <c r="A16" s="16" t="s">
        <v>87</v>
      </c>
      <c r="B16" s="16" t="s">
        <v>116</v>
      </c>
      <c r="C16" s="16" t="s">
        <v>107</v>
      </c>
      <c r="D16" s="15"/>
      <c r="E16" s="15"/>
    </row>
    <row r="17" spans="1:5" x14ac:dyDescent="0.3">
      <c r="A17" s="16" t="s">
        <v>83</v>
      </c>
      <c r="B17" s="16" t="s">
        <v>117</v>
      </c>
      <c r="C17" s="16" t="s">
        <v>105</v>
      </c>
      <c r="D17" s="15"/>
      <c r="E17" s="15"/>
    </row>
    <row r="18" spans="1:5" x14ac:dyDescent="0.3">
      <c r="A18" s="16" t="s">
        <v>78</v>
      </c>
      <c r="B18" s="16" t="s">
        <v>118</v>
      </c>
      <c r="C18" s="16" t="s">
        <v>105</v>
      </c>
      <c r="D18" s="15"/>
      <c r="E18" s="15"/>
    </row>
    <row r="19" spans="1:5" x14ac:dyDescent="0.3">
      <c r="A19" s="15"/>
      <c r="B19" s="15"/>
      <c r="C19" s="15"/>
      <c r="D19" s="15"/>
      <c r="E19" s="15"/>
    </row>
    <row r="20" spans="1:5" x14ac:dyDescent="0.3">
      <c r="A20" s="15"/>
      <c r="B20" s="15"/>
      <c r="C20" s="15"/>
      <c r="D20" s="15"/>
      <c r="E20" s="15"/>
    </row>
  </sheetData>
  <mergeCells count="1">
    <mergeCell ref="A2:C2"/>
  </mergeCells>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4"/>
  <sheetViews>
    <sheetView zoomScaleNormal="100" workbookViewId="0">
      <pane ySplit="4" topLeftCell="A5" activePane="bottomLeft" state="frozen"/>
      <selection pane="bottomLeft" activeCell="G1" sqref="G1"/>
    </sheetView>
  </sheetViews>
  <sheetFormatPr defaultColWidth="8.6640625" defaultRowHeight="14.4" x14ac:dyDescent="0.3"/>
  <cols>
    <col min="1" max="1" width="12" customWidth="1"/>
    <col min="2" max="2" width="24" customWidth="1"/>
    <col min="3" max="3" width="19.6640625" customWidth="1"/>
    <col min="4" max="4" width="21.109375" customWidth="1"/>
    <col min="5" max="5" width="23.5546875" customWidth="1"/>
    <col min="6" max="6" width="20.44140625" customWidth="1"/>
    <col min="7" max="7" width="17.21875" customWidth="1"/>
    <col min="8" max="8" width="30.109375" customWidth="1"/>
    <col min="9" max="9" width="28.77734375" customWidth="1"/>
    <col min="10" max="10" width="28.44140625" customWidth="1"/>
    <col min="11" max="11" width="23.33203125" customWidth="1"/>
  </cols>
  <sheetData>
    <row r="1" spans="1:13" ht="17.399999999999999" x14ac:dyDescent="0.3">
      <c r="A1" s="19" t="s">
        <v>119</v>
      </c>
    </row>
    <row r="2" spans="1:13" ht="15" customHeight="1" x14ac:dyDescent="0.3">
      <c r="A2" s="25" t="s">
        <v>139</v>
      </c>
      <c r="B2" s="25"/>
      <c r="C2" s="25"/>
      <c r="D2" s="25"/>
      <c r="E2" s="25"/>
      <c r="F2" s="25"/>
      <c r="G2" s="25"/>
      <c r="H2" s="25"/>
      <c r="I2" s="25"/>
      <c r="J2" s="25"/>
      <c r="K2" s="25"/>
      <c r="L2" s="25"/>
      <c r="M2" s="25"/>
    </row>
    <row r="4" spans="1:13" x14ac:dyDescent="0.3">
      <c r="A4" s="17" t="s">
        <v>1</v>
      </c>
      <c r="B4" s="18" t="s">
        <v>120</v>
      </c>
      <c r="C4" s="18" t="s">
        <v>121</v>
      </c>
      <c r="D4" s="18" t="s">
        <v>122</v>
      </c>
      <c r="E4" s="18" t="s">
        <v>123</v>
      </c>
      <c r="F4" s="18" t="s">
        <v>124</v>
      </c>
      <c r="G4" s="18" t="s">
        <v>7</v>
      </c>
      <c r="H4" s="18" t="s">
        <v>125</v>
      </c>
      <c r="I4" s="18" t="s">
        <v>126</v>
      </c>
      <c r="J4" s="18" t="s">
        <v>127</v>
      </c>
      <c r="K4" s="18" t="s">
        <v>128</v>
      </c>
    </row>
    <row r="5" spans="1:13" x14ac:dyDescent="0.3">
      <c r="A5" s="2" t="str">
        <f>TEXT(Raw_Property_Data!A5,"0")</f>
        <v>1004</v>
      </c>
      <c r="B5" s="2" t="str">
        <f>TRIM(CLEAN(Raw_Property_Data!B5))</f>
        <v>109 Elm St</v>
      </c>
      <c r="C5" s="2" t="str">
        <f>PROPER(TRIM(Raw_Property_Data!C5))</f>
        <v>Fort Worth</v>
      </c>
      <c r="D5" s="2" t="str">
        <f>UPPER(TRIM(Raw_Property_Data!D5))</f>
        <v>TX</v>
      </c>
      <c r="E5" s="2" t="str">
        <f>IF(TRIM(Raw_Property_Data!E5)="","Unknown",TRIM(Raw_Property_Data!E5))</f>
        <v>78703</v>
      </c>
      <c r="F5" s="3">
        <f>VALUE(SUBSTITUTE(SUBSTITUTE(Raw_Property_Data!F5,"$",""),",",""))</f>
        <v>220111</v>
      </c>
      <c r="G5" s="2" t="str">
        <f>Raw_Property_Data!G5</f>
        <v>4</v>
      </c>
      <c r="H5" s="2" t="str">
        <f>PROPER(TRIM(Raw_Property_Data!H5))</f>
        <v>House</v>
      </c>
      <c r="I5" s="4">
        <f>IFERROR(DATEVALUE(Raw_Property_Data!I5),Raw_Property_Data!I5)</f>
        <v>45366</v>
      </c>
      <c r="J5" s="2" t="str">
        <f>IF(COUNTIF($A$5:A5,A5)=1,"Keep","Remove (Duplicate)")</f>
        <v>Keep</v>
      </c>
      <c r="K5" s="2" t="str">
        <f t="shared" ref="K5:K24" si="0">IF(E5="Unknown","Missing ZIP","OK")</f>
        <v>OK</v>
      </c>
    </row>
    <row r="6" spans="1:13" x14ac:dyDescent="0.3">
      <c r="A6" s="2" t="str">
        <f>TEXT(Raw_Property_Data!A6,"0")</f>
        <v>1006</v>
      </c>
      <c r="B6" s="2" t="str">
        <f>TRIM(CLEAN(Raw_Property_Data!B6))</f>
        <v>115 Birch Blvd</v>
      </c>
      <c r="C6" s="2" t="str">
        <f>PROPER(TRIM(Raw_Property_Data!C6))</f>
        <v>Austin</v>
      </c>
      <c r="D6" s="2" t="str">
        <f>UPPER(TRIM(Raw_Property_Data!D6))</f>
        <v>TX</v>
      </c>
      <c r="E6" s="2" t="str">
        <f>IF(TRIM(Raw_Property_Data!E6)="","Unknown",TRIM(Raw_Property_Data!E6))</f>
        <v>78705</v>
      </c>
      <c r="F6" s="3">
        <f>VALUE(SUBSTITUTE(SUBSTITUTE(Raw_Property_Data!F6,"$",""),",",""))</f>
        <v>269724</v>
      </c>
      <c r="G6" s="2" t="str">
        <f>Raw_Property_Data!G6</f>
        <v>2</v>
      </c>
      <c r="H6" s="2" t="str">
        <f>PROPER(TRIM(Raw_Property_Data!H6))</f>
        <v>Apartment</v>
      </c>
      <c r="I6" s="4">
        <f>IFERROR(DATEVALUE(Raw_Property_Data!I6),Raw_Property_Data!I6)</f>
        <v>45366</v>
      </c>
      <c r="J6" s="2" t="str">
        <f>IF(COUNTIF($A$5:A6,A6)=1,"Keep","Remove (Duplicate)")</f>
        <v>Keep</v>
      </c>
      <c r="K6" s="2" t="str">
        <f t="shared" si="0"/>
        <v>OK</v>
      </c>
    </row>
    <row r="7" spans="1:13" x14ac:dyDescent="0.3">
      <c r="A7" s="2" t="str">
        <f>TEXT(Raw_Property_Data!A7,"0")</f>
        <v>1011</v>
      </c>
      <c r="B7" s="2" t="str">
        <f>TRIM(CLEAN(Raw_Property_Data!B7))</f>
        <v>130 Elm St</v>
      </c>
      <c r="C7" s="2" t="str">
        <f>PROPER(TRIM(Raw_Property_Data!C7))</f>
        <v>Houston</v>
      </c>
      <c r="D7" s="2" t="str">
        <f>UPPER(TRIM(Raw_Property_Data!D7))</f>
        <v>TX</v>
      </c>
      <c r="E7" s="2" t="str">
        <f>IF(TRIM(Raw_Property_Data!E7)="","Unknown",TRIM(Raw_Property_Data!E7))</f>
        <v>78710</v>
      </c>
      <c r="F7" s="3">
        <f>VALUE(SUBSTITUTE(SUBSTITUTE(Raw_Property_Data!F7,"$",""),",",""))</f>
        <v>390980</v>
      </c>
      <c r="G7" s="2" t="str">
        <f>Raw_Property_Data!G7</f>
        <v>3</v>
      </c>
      <c r="H7" s="2" t="str">
        <f>PROPER(TRIM(Raw_Property_Data!H7))</f>
        <v>House</v>
      </c>
      <c r="I7" s="4">
        <f>IFERROR(DATEVALUE(Raw_Property_Data!I7),Raw_Property_Data!I7)</f>
        <v>45366</v>
      </c>
      <c r="J7" s="2" t="str">
        <f>IF(COUNTIF($A$5:A7,A7)=1,"Keep","Remove (Duplicate)")</f>
        <v>Keep</v>
      </c>
      <c r="K7" s="2" t="str">
        <f t="shared" si="0"/>
        <v>OK</v>
      </c>
    </row>
    <row r="8" spans="1:13" x14ac:dyDescent="0.3">
      <c r="A8" s="2" t="str">
        <f>TEXT(Raw_Property_Data!A8,"0")</f>
        <v>1015</v>
      </c>
      <c r="B8" s="2" t="str">
        <f>TRIM(CLEAN(Raw_Property_Data!B8))</f>
        <v>142 Sunset Dr</v>
      </c>
      <c r="C8" s="2" t="str">
        <f>PROPER(TRIM(Raw_Property_Data!C8))</f>
        <v>Dallas</v>
      </c>
      <c r="D8" s="2" t="str">
        <f>UPPER(TRIM(Raw_Property_Data!D8))</f>
        <v>TX</v>
      </c>
      <c r="E8" s="2" t="str">
        <f>IF(TRIM(Raw_Property_Data!E8)="","Unknown",TRIM(Raw_Property_Data!E8))</f>
        <v>Unknown</v>
      </c>
      <c r="F8" s="3">
        <f>VALUE(SUBSTITUTE(SUBSTITUTE(Raw_Property_Data!F8,"$",""),",",""))</f>
        <v>477287</v>
      </c>
      <c r="G8" s="2" t="str">
        <f>Raw_Property_Data!G8</f>
        <v>3</v>
      </c>
      <c r="H8" s="2" t="str">
        <f>PROPER(TRIM(Raw_Property_Data!H8))</f>
        <v>House</v>
      </c>
      <c r="I8" s="4">
        <f>IFERROR(DATEVALUE(Raw_Property_Data!I8),Raw_Property_Data!I8)</f>
        <v>45366</v>
      </c>
      <c r="J8" s="2" t="str">
        <f>IF(COUNTIF($A$5:A8,A8)=1,"Keep","Remove (Duplicate)")</f>
        <v>Keep</v>
      </c>
      <c r="K8" s="2" t="str">
        <f t="shared" si="0"/>
        <v>Missing ZIP</v>
      </c>
    </row>
    <row r="9" spans="1:13" x14ac:dyDescent="0.3">
      <c r="A9" s="2" t="str">
        <f>TEXT(Raw_Property_Data!A9,"0")</f>
        <v>1003</v>
      </c>
      <c r="B9" s="2" t="str">
        <f>TRIM(CLEAN(Raw_Property_Data!B9))</f>
        <v>106 Oak Ave</v>
      </c>
      <c r="C9" s="2" t="str">
        <f>PROPER(TRIM(Raw_Property_Data!C9))</f>
        <v>Dallas</v>
      </c>
      <c r="D9" s="2" t="str">
        <f>UPPER(TRIM(Raw_Property_Data!D9))</f>
        <v>TX</v>
      </c>
      <c r="E9" s="2" t="str">
        <f>IF(TRIM(Raw_Property_Data!E9)="","Unknown",TRIM(Raw_Property_Data!E9))</f>
        <v>Unknown</v>
      </c>
      <c r="F9" s="3">
        <f>VALUE(SUBSTITUTE(SUBSTITUTE(Raw_Property_Data!F9,"$",""),",",""))</f>
        <v>201279</v>
      </c>
      <c r="G9" s="2" t="str">
        <f>Raw_Property_Data!G9</f>
        <v>5</v>
      </c>
      <c r="H9" s="2" t="str">
        <f>PROPER(TRIM(Raw_Property_Data!H9))</f>
        <v>House</v>
      </c>
      <c r="I9" s="4">
        <f>IFERROR(DATEVALUE(Raw_Property_Data!I9),Raw_Property_Data!I9)</f>
        <v>45366</v>
      </c>
      <c r="J9" s="2" t="str">
        <f>IF(COUNTIF($A$5:A9,A9)=1,"Keep","Remove (Duplicate)")</f>
        <v>Keep</v>
      </c>
      <c r="K9" s="2" t="str">
        <f t="shared" si="0"/>
        <v>Missing ZIP</v>
      </c>
    </row>
    <row r="10" spans="1:13" x14ac:dyDescent="0.3">
      <c r="A10" s="2" t="str">
        <f>TEXT(Raw_Property_Data!A10,"0")</f>
        <v>1011</v>
      </c>
      <c r="B10" s="2" t="str">
        <f>TRIM(CLEAN(Raw_Property_Data!B10))</f>
        <v>130 Elm St</v>
      </c>
      <c r="C10" s="2" t="str">
        <f>PROPER(TRIM(Raw_Property_Data!C10))</f>
        <v>Houston</v>
      </c>
      <c r="D10" s="2" t="str">
        <f>UPPER(TRIM(Raw_Property_Data!D10))</f>
        <v>TX</v>
      </c>
      <c r="E10" s="2" t="str">
        <f>IF(TRIM(Raw_Property_Data!E10)="","Unknown",TRIM(Raw_Property_Data!E10))</f>
        <v>78710</v>
      </c>
      <c r="F10" s="3">
        <f>VALUE(SUBSTITUTE(SUBSTITUTE(Raw_Property_Data!F10,"$",""),",",""))</f>
        <v>390980</v>
      </c>
      <c r="G10" s="2" t="str">
        <f>Raw_Property_Data!G10</f>
        <v>3</v>
      </c>
      <c r="H10" s="2" t="str">
        <f>PROPER(TRIM(Raw_Property_Data!H10))</f>
        <v>House</v>
      </c>
      <c r="I10" s="4">
        <f>IFERROR(DATEVALUE(Raw_Property_Data!I10),Raw_Property_Data!I10)</f>
        <v>45366</v>
      </c>
      <c r="J10" s="2" t="str">
        <f>IF(COUNTIF($A$5:A10,A10)=1,"Keep","Remove (Duplicate)")</f>
        <v>Remove (Duplicate)</v>
      </c>
      <c r="K10" s="2" t="str">
        <f t="shared" si="0"/>
        <v>OK</v>
      </c>
    </row>
    <row r="11" spans="1:13" x14ac:dyDescent="0.3">
      <c r="A11" s="2" t="str">
        <f>TEXT(Raw_Property_Data!A11,"0")</f>
        <v>1007</v>
      </c>
      <c r="B11" s="2" t="str">
        <f>TRIM(CLEAN(Raw_Property_Data!B11))</f>
        <v>118 Lake View Dr</v>
      </c>
      <c r="C11" s="2" t="str">
        <f>PROPER(TRIM(Raw_Property_Data!C11))</f>
        <v>Houston</v>
      </c>
      <c r="D11" s="2" t="str">
        <f>UPPER(TRIM(Raw_Property_Data!D11))</f>
        <v>TX</v>
      </c>
      <c r="E11" s="2" t="str">
        <f>IF(TRIM(Raw_Property_Data!E11)="","Unknown",TRIM(Raw_Property_Data!E11))</f>
        <v>78706</v>
      </c>
      <c r="F11" s="3">
        <f>VALUE(SUBSTITUTE(SUBSTITUTE(Raw_Property_Data!F11,"$",""),",",""))</f>
        <v>294527</v>
      </c>
      <c r="G11" s="2" t="str">
        <f>Raw_Property_Data!G11</f>
        <v>5</v>
      </c>
      <c r="H11" s="2" t="str">
        <f>PROPER(TRIM(Raw_Property_Data!H11))</f>
        <v>House</v>
      </c>
      <c r="I11" s="4">
        <f>IFERROR(DATEVALUE(Raw_Property_Data!I11),Raw_Property_Data!I11)</f>
        <v>45366</v>
      </c>
      <c r="J11" s="2" t="str">
        <f>IF(COUNTIF($A$5:A11,A11)=1,"Keep","Remove (Duplicate)")</f>
        <v>Keep</v>
      </c>
      <c r="K11" s="2" t="str">
        <f t="shared" si="0"/>
        <v>OK</v>
      </c>
    </row>
    <row r="12" spans="1:13" x14ac:dyDescent="0.3">
      <c r="A12" s="2" t="str">
        <f>TEXT(Raw_Property_Data!A12,"0")</f>
        <v>1012</v>
      </c>
      <c r="B12" s="2" t="str">
        <f>TRIM(CLEAN(Raw_Property_Data!B12))</f>
        <v>133 Elm St</v>
      </c>
      <c r="C12" s="2" t="str">
        <f>PROPER(TRIM(Raw_Property_Data!C12))</f>
        <v>Dallas</v>
      </c>
      <c r="D12" s="2" t="str">
        <f>UPPER(TRIM(Raw_Property_Data!D12))</f>
        <v>TX</v>
      </c>
      <c r="E12" s="2" t="str">
        <f>IF(TRIM(Raw_Property_Data!E12)="","Unknown",TRIM(Raw_Property_Data!E12))</f>
        <v>78711</v>
      </c>
      <c r="F12" s="3">
        <f>VALUE(SUBSTITUTE(SUBSTITUTE(Raw_Property_Data!F12,"$",""),",",""))</f>
        <v>410716</v>
      </c>
      <c r="G12" s="2" t="str">
        <f>Raw_Property_Data!G12</f>
        <v>3</v>
      </c>
      <c r="H12" s="2" t="str">
        <f>PROPER(TRIM(Raw_Property_Data!H12))</f>
        <v>House</v>
      </c>
      <c r="I12" s="4" t="str">
        <f>IFERROR(DATEVALUE(Raw_Property_Data!I12),Raw_Property_Data!I12)</f>
        <v>03/15/2024</v>
      </c>
      <c r="J12" s="2" t="str">
        <f>IF(COUNTIF($A$5:A12,A12)=1,"Keep","Remove (Duplicate)")</f>
        <v>Keep</v>
      </c>
      <c r="K12" s="2" t="str">
        <f t="shared" si="0"/>
        <v>OK</v>
      </c>
    </row>
    <row r="13" spans="1:13" x14ac:dyDescent="0.3">
      <c r="A13" s="2" t="str">
        <f>TEXT(Raw_Property_Data!A13,"0")</f>
        <v>1002</v>
      </c>
      <c r="B13" s="2" t="str">
        <f>TRIM(CLEAN(Raw_Property_Data!B13))</f>
        <v>103 Oak Ave</v>
      </c>
      <c r="C13" s="2" t="str">
        <f>PROPER(TRIM(Raw_Property_Data!C13))</f>
        <v>Fort Worth</v>
      </c>
      <c r="D13" s="2" t="str">
        <f>UPPER(TRIM(Raw_Property_Data!D13))</f>
        <v>TX</v>
      </c>
      <c r="E13" s="2" t="str">
        <f>IF(TRIM(Raw_Property_Data!E13)="","Unknown",TRIM(Raw_Property_Data!E13))</f>
        <v>78701</v>
      </c>
      <c r="F13" s="3">
        <f>VALUE(SUBSTITUTE(SUBSTITUTE(Raw_Property_Data!F13,"$",""),",",""))</f>
        <v>179174</v>
      </c>
      <c r="G13" s="2" t="str">
        <f>Raw_Property_Data!G13</f>
        <v>4</v>
      </c>
      <c r="H13" s="2" t="str">
        <f>PROPER(TRIM(Raw_Property_Data!H13))</f>
        <v>House</v>
      </c>
      <c r="I13" s="4" t="str">
        <f>IFERROR(DATEVALUE(Raw_Property_Data!I13),Raw_Property_Data!I13)</f>
        <v>03/15/2024</v>
      </c>
      <c r="J13" s="2" t="str">
        <f>IF(COUNTIF($A$5:A13,A13)=1,"Keep","Remove (Duplicate)")</f>
        <v>Keep</v>
      </c>
      <c r="K13" s="2" t="str">
        <f t="shared" si="0"/>
        <v>OK</v>
      </c>
    </row>
    <row r="14" spans="1:13" x14ac:dyDescent="0.3">
      <c r="A14" s="2" t="str">
        <f>TEXT(Raw_Property_Data!A14,"0")</f>
        <v>1001</v>
      </c>
      <c r="B14" s="2" t="str">
        <f>TRIM(CLEAN(Raw_Property_Data!B14))</f>
        <v>100 Oak Ave</v>
      </c>
      <c r="C14" s="2" t="str">
        <f>PROPER(TRIM(Raw_Property_Data!C14))</f>
        <v>Austin</v>
      </c>
      <c r="D14" s="2" t="str">
        <f>UPPER(TRIM(Raw_Property_Data!D14))</f>
        <v>TX</v>
      </c>
      <c r="E14" s="2" t="str">
        <f>IF(TRIM(Raw_Property_Data!E14)="","Unknown",TRIM(Raw_Property_Data!E14))</f>
        <v>78700</v>
      </c>
      <c r="F14" s="3">
        <f>VALUE(SUBSTITUTE(SUBSTITUTE(Raw_Property_Data!F14,"$",""),",",""))</f>
        <v>150012</v>
      </c>
      <c r="G14" s="2" t="str">
        <f>Raw_Property_Data!G14</f>
        <v>3</v>
      </c>
      <c r="H14" s="2" t="str">
        <f>PROPER(TRIM(Raw_Property_Data!H14))</f>
        <v>Condo</v>
      </c>
      <c r="I14" s="4">
        <f>IFERROR(DATEVALUE(Raw_Property_Data!I14),Raw_Property_Data!I14)</f>
        <v>45366</v>
      </c>
      <c r="J14" s="2" t="str">
        <f>IF(COUNTIF($A$5:A14,A14)=1,"Keep","Remove (Duplicate)")</f>
        <v>Keep</v>
      </c>
      <c r="K14" s="2" t="str">
        <f t="shared" si="0"/>
        <v>OK</v>
      </c>
    </row>
    <row r="15" spans="1:13" x14ac:dyDescent="0.3">
      <c r="A15" s="2" t="str">
        <f>TEXT(Raw_Property_Data!A15,"0")</f>
        <v>1016</v>
      </c>
      <c r="B15" s="2" t="str">
        <f>TRIM(CLEAN(Raw_Property_Data!B15))</f>
        <v>145 Cedar Ln</v>
      </c>
      <c r="C15" s="2" t="str">
        <f>PROPER(TRIM(Raw_Property_Data!C15))</f>
        <v>Fort Worth</v>
      </c>
      <c r="D15" s="2" t="str">
        <f>UPPER(TRIM(Raw_Property_Data!D15))</f>
        <v>TX</v>
      </c>
      <c r="E15" s="2" t="str">
        <f>IF(TRIM(Raw_Property_Data!E15)="","Unknown",TRIM(Raw_Property_Data!E15))</f>
        <v>78715</v>
      </c>
      <c r="F15" s="3">
        <f>VALUE(SUBSTITUTE(SUBSTITUTE(Raw_Property_Data!F15,"$",""),",",""))</f>
        <v>508060</v>
      </c>
      <c r="G15" s="2" t="str">
        <f>Raw_Property_Data!G15</f>
        <v>4</v>
      </c>
      <c r="H15" s="2" t="str">
        <f>PROPER(TRIM(Raw_Property_Data!H15))</f>
        <v>Apartment</v>
      </c>
      <c r="I15" s="4" t="str">
        <f>IFERROR(DATEVALUE(Raw_Property_Data!I15),Raw_Property_Data!I15)</f>
        <v>03/15/2024</v>
      </c>
      <c r="J15" s="2" t="str">
        <f>IF(COUNTIF($A$5:A15,A15)=1,"Keep","Remove (Duplicate)")</f>
        <v>Keep</v>
      </c>
      <c r="K15" s="2" t="str">
        <f t="shared" si="0"/>
        <v>OK</v>
      </c>
    </row>
    <row r="16" spans="1:13" x14ac:dyDescent="0.3">
      <c r="A16" s="2" t="str">
        <f>TEXT(Raw_Property_Data!A16,"0")</f>
        <v>1005</v>
      </c>
      <c r="B16" s="2" t="str">
        <f>TRIM(CLEAN(Raw_Property_Data!B16))</f>
        <v>112 Maple St</v>
      </c>
      <c r="C16" s="2" t="str">
        <f>PROPER(TRIM(Raw_Property_Data!C16))</f>
        <v>Dallas</v>
      </c>
      <c r="D16" s="2" t="str">
        <f>UPPER(TRIM(Raw_Property_Data!D16))</f>
        <v>TX</v>
      </c>
      <c r="E16" s="2" t="str">
        <f>IF(TRIM(Raw_Property_Data!E16)="","Unknown",TRIM(Raw_Property_Data!E16))</f>
        <v>78704</v>
      </c>
      <c r="F16" s="3">
        <f>VALUE(SUBSTITUTE(SUBSTITUTE(Raw_Property_Data!F16,"$",""),",",""))</f>
        <v>245574</v>
      </c>
      <c r="G16" s="2" t="str">
        <f>Raw_Property_Data!G16</f>
        <v>3</v>
      </c>
      <c r="H16" s="2" t="str">
        <f>PROPER(TRIM(Raw_Property_Data!H16))</f>
        <v>Condo</v>
      </c>
      <c r="I16" s="4" t="str">
        <f>IFERROR(DATEVALUE(Raw_Property_Data!I16),Raw_Property_Data!I16)</f>
        <v>03/15/2024</v>
      </c>
      <c r="J16" s="2" t="str">
        <f>IF(COUNTIF($A$5:A16,A16)=1,"Keep","Remove (Duplicate)")</f>
        <v>Keep</v>
      </c>
      <c r="K16" s="2" t="str">
        <f t="shared" si="0"/>
        <v>OK</v>
      </c>
    </row>
    <row r="17" spans="1:11" x14ac:dyDescent="0.3">
      <c r="A17" s="2" t="str">
        <f>TEXT(Raw_Property_Data!A17,"0")</f>
        <v>1009</v>
      </c>
      <c r="B17" s="2" t="str">
        <f>TRIM(CLEAN(Raw_Property_Data!B17))</f>
        <v>124 Oak Ave</v>
      </c>
      <c r="C17" s="2" t="str">
        <f>PROPER(TRIM(Raw_Property_Data!C17))</f>
        <v>Austin</v>
      </c>
      <c r="D17" s="2" t="str">
        <f>UPPER(TRIM(Raw_Property_Data!D17))</f>
        <v>TX</v>
      </c>
      <c r="E17" s="2" t="str">
        <f>IF(TRIM(Raw_Property_Data!E17)="","Unknown",TRIM(Raw_Property_Data!E17))</f>
        <v>78708</v>
      </c>
      <c r="F17" s="3">
        <f>VALUE(SUBSTITUTE(SUBSTITUTE(Raw_Property_Data!F17,"$",""),",",""))</f>
        <v>338741</v>
      </c>
      <c r="G17" s="2" t="str">
        <f>Raw_Property_Data!G17</f>
        <v>2</v>
      </c>
      <c r="H17" s="2" t="str">
        <f>PROPER(TRIM(Raw_Property_Data!H17))</f>
        <v>Condo</v>
      </c>
      <c r="I17" s="4" t="str">
        <f>IFERROR(DATEVALUE(Raw_Property_Data!I17),Raw_Property_Data!I17)</f>
        <v>03/15/2024</v>
      </c>
      <c r="J17" s="2" t="str">
        <f>IF(COUNTIF($A$5:A17,A17)=1,"Keep","Remove (Duplicate)")</f>
        <v>Keep</v>
      </c>
      <c r="K17" s="2" t="str">
        <f t="shared" si="0"/>
        <v>OK</v>
      </c>
    </row>
    <row r="18" spans="1:11" x14ac:dyDescent="0.3">
      <c r="A18" s="2" t="str">
        <f>TEXT(Raw_Property_Data!A18,"0")</f>
        <v>1008</v>
      </c>
      <c r="B18" s="2" t="str">
        <f>TRIM(CLEAN(Raw_Property_Data!B18))</f>
        <v>121 Oak Ave</v>
      </c>
      <c r="C18" s="2" t="str">
        <f>PROPER(TRIM(Raw_Property_Data!C18))</f>
        <v>Fort Worth</v>
      </c>
      <c r="D18" s="2" t="str">
        <f>UPPER(TRIM(Raw_Property_Data!D18))</f>
        <v>TX</v>
      </c>
      <c r="E18" s="2" t="str">
        <f>IF(TRIM(Raw_Property_Data!E18)="","Unknown",TRIM(Raw_Property_Data!E18))</f>
        <v>78707</v>
      </c>
      <c r="F18" s="3">
        <f>VALUE(SUBSTITUTE(SUBSTITUTE(Raw_Property_Data!F18,"$",""),",",""))</f>
        <v>316425</v>
      </c>
      <c r="G18" s="2" t="str">
        <f>Raw_Property_Data!G18</f>
        <v>5</v>
      </c>
      <c r="H18" s="2" t="str">
        <f>PROPER(TRIM(Raw_Property_Data!H18))</f>
        <v>Condo</v>
      </c>
      <c r="I18" s="4">
        <f>IFERROR(DATEVALUE(Raw_Property_Data!I18),Raw_Property_Data!I18)</f>
        <v>45366</v>
      </c>
      <c r="J18" s="2" t="str">
        <f>IF(COUNTIF($A$5:A18,A18)=1,"Keep","Remove (Duplicate)")</f>
        <v>Keep</v>
      </c>
      <c r="K18" s="2" t="str">
        <f t="shared" si="0"/>
        <v>OK</v>
      </c>
    </row>
    <row r="19" spans="1:11" x14ac:dyDescent="0.3">
      <c r="A19" s="2" t="str">
        <f>TEXT(Raw_Property_Data!A19,"0")</f>
        <v>1010</v>
      </c>
      <c r="B19" s="2" t="str">
        <f>TRIM(CLEAN(Raw_Property_Data!B19))</f>
        <v>127 Willow Ct</v>
      </c>
      <c r="C19" s="2" t="str">
        <f>PROPER(TRIM(Raw_Property_Data!C19))</f>
        <v>Houston</v>
      </c>
      <c r="D19" s="2" t="str">
        <f>UPPER(TRIM(Raw_Property_Data!D19))</f>
        <v>TX</v>
      </c>
      <c r="E19" s="2" t="str">
        <f>IF(TRIM(Raw_Property_Data!E19)="","Unknown",TRIM(Raw_Property_Data!E19))</f>
        <v>Unknown</v>
      </c>
      <c r="F19" s="3">
        <f>VALUE(SUBSTITUTE(SUBSTITUTE(Raw_Property_Data!F19,"$",""),",",""))</f>
        <v>363477</v>
      </c>
      <c r="G19" s="2" t="str">
        <f>Raw_Property_Data!G19</f>
        <v>3</v>
      </c>
      <c r="H19" s="2" t="str">
        <f>PROPER(TRIM(Raw_Property_Data!H19))</f>
        <v>Apartment</v>
      </c>
      <c r="I19" s="4">
        <f>IFERROR(DATEVALUE(Raw_Property_Data!I19),Raw_Property_Data!I19)</f>
        <v>45366</v>
      </c>
      <c r="J19" s="2" t="str">
        <f>IF(COUNTIF($A$5:A19,A19)=1,"Keep","Remove (Duplicate)")</f>
        <v>Keep</v>
      </c>
      <c r="K19" s="2" t="str">
        <f t="shared" si="0"/>
        <v>Missing ZIP</v>
      </c>
    </row>
    <row r="20" spans="1:11" x14ac:dyDescent="0.3">
      <c r="A20" s="2" t="str">
        <f>TEXT(Raw_Property_Data!A20,"0")</f>
        <v>1017</v>
      </c>
      <c r="B20" s="2" t="str">
        <f>TRIM(CLEAN(Raw_Property_Data!B20))</f>
        <v>148 Pine Rd</v>
      </c>
      <c r="C20" s="2" t="str">
        <f>PROPER(TRIM(Raw_Property_Data!C20))</f>
        <v>Fort Worth</v>
      </c>
      <c r="D20" s="2" t="str">
        <f>UPPER(TRIM(Raw_Property_Data!D20))</f>
        <v>TX</v>
      </c>
      <c r="E20" s="2" t="str">
        <f>IF(TRIM(Raw_Property_Data!E20)="","Unknown",TRIM(Raw_Property_Data!E20))</f>
        <v>78716</v>
      </c>
      <c r="F20" s="3">
        <f>VALUE(SUBSTITUTE(SUBSTITUTE(Raw_Property_Data!F20,"$",""),",",""))</f>
        <v>523489</v>
      </c>
      <c r="G20" s="2" t="str">
        <f>Raw_Property_Data!G20</f>
        <v>2</v>
      </c>
      <c r="H20" s="2" t="str">
        <f>PROPER(TRIM(Raw_Property_Data!H20))</f>
        <v>House</v>
      </c>
      <c r="I20" s="4" t="str">
        <f>IFERROR(DATEVALUE(Raw_Property_Data!I20),Raw_Property_Data!I20)</f>
        <v>03/15/2024</v>
      </c>
      <c r="J20" s="2" t="str">
        <f>IF(COUNTIF($A$5:A20,A20)=1,"Keep","Remove (Duplicate)")</f>
        <v>Keep</v>
      </c>
      <c r="K20" s="2" t="str">
        <f t="shared" si="0"/>
        <v>OK</v>
      </c>
    </row>
    <row r="21" spans="1:11" x14ac:dyDescent="0.3">
      <c r="A21" s="2" t="str">
        <f>TEXT(Raw_Property_Data!A21,"0")</f>
        <v>1013</v>
      </c>
      <c r="B21" s="2" t="str">
        <f>TRIM(CLEAN(Raw_Property_Data!B21))</f>
        <v>136 Birch Blvd</v>
      </c>
      <c r="C21" s="2" t="str">
        <f>PROPER(TRIM(Raw_Property_Data!C21))</f>
        <v>Austin</v>
      </c>
      <c r="D21" s="2" t="str">
        <f>UPPER(TRIM(Raw_Property_Data!D21))</f>
        <v>TX</v>
      </c>
      <c r="E21" s="2" t="str">
        <f>IF(TRIM(Raw_Property_Data!E21)="","Unknown",TRIM(Raw_Property_Data!E21))</f>
        <v>78712</v>
      </c>
      <c r="F21" s="3">
        <f>VALUE(SUBSTITUTE(SUBSTITUTE(Raw_Property_Data!F21,"$",""),",",""))</f>
        <v>428525</v>
      </c>
      <c r="G21" s="2" t="str">
        <f>Raw_Property_Data!G21</f>
        <v>3</v>
      </c>
      <c r="H21" s="2" t="str">
        <f>PROPER(TRIM(Raw_Property_Data!H21))</f>
        <v>Townhouse</v>
      </c>
      <c r="I21" s="4">
        <f>IFERROR(DATEVALUE(Raw_Property_Data!I21),Raw_Property_Data!I21)</f>
        <v>45366</v>
      </c>
      <c r="J21" s="2" t="str">
        <f>IF(COUNTIF($A$5:A21,A21)=1,"Keep","Remove (Duplicate)")</f>
        <v>Keep</v>
      </c>
      <c r="K21" s="2" t="str">
        <f t="shared" si="0"/>
        <v>OK</v>
      </c>
    </row>
    <row r="22" spans="1:11" x14ac:dyDescent="0.3">
      <c r="A22" s="2" t="str">
        <f>TEXT(Raw_Property_Data!A22,"0")</f>
        <v>1003</v>
      </c>
      <c r="B22" s="2" t="str">
        <f>TRIM(CLEAN(Raw_Property_Data!B22))</f>
        <v>106 Oak Ave</v>
      </c>
      <c r="C22" s="2" t="str">
        <f>PROPER(TRIM(Raw_Property_Data!C22))</f>
        <v>Dallas</v>
      </c>
      <c r="D22" s="2" t="str">
        <f>UPPER(TRIM(Raw_Property_Data!D22))</f>
        <v>TX</v>
      </c>
      <c r="E22" s="2" t="str">
        <f>IF(TRIM(Raw_Property_Data!E22)="","Unknown",TRIM(Raw_Property_Data!E22))</f>
        <v>Unknown</v>
      </c>
      <c r="F22" s="3">
        <f>VALUE(SUBSTITUTE(SUBSTITUTE(Raw_Property_Data!F22,"$",""),",",""))</f>
        <v>201279</v>
      </c>
      <c r="G22" s="2" t="str">
        <f>Raw_Property_Data!G22</f>
        <v>5</v>
      </c>
      <c r="H22" s="2" t="str">
        <f>PROPER(TRIM(Raw_Property_Data!H22))</f>
        <v>House</v>
      </c>
      <c r="I22" s="4">
        <f>IFERROR(DATEVALUE(Raw_Property_Data!I22),Raw_Property_Data!I22)</f>
        <v>45366</v>
      </c>
      <c r="J22" s="2" t="str">
        <f>IF(COUNTIF($A$5:A22,A22)=1,"Keep","Remove (Duplicate)")</f>
        <v>Remove (Duplicate)</v>
      </c>
      <c r="K22" s="2" t="str">
        <f t="shared" si="0"/>
        <v>Missing ZIP</v>
      </c>
    </row>
    <row r="23" spans="1:11" x14ac:dyDescent="0.3">
      <c r="A23" s="2" t="str">
        <f>TEXT(Raw_Property_Data!A23,"0")</f>
        <v>1014</v>
      </c>
      <c r="B23" s="2" t="str">
        <f>TRIM(CLEAN(Raw_Property_Data!B23))</f>
        <v>139 Oak Ave</v>
      </c>
      <c r="C23" s="2" t="str">
        <f>PROPER(TRIM(Raw_Property_Data!C23))</f>
        <v>Dallas</v>
      </c>
      <c r="D23" s="2" t="str">
        <f>UPPER(TRIM(Raw_Property_Data!D23))</f>
        <v>TX</v>
      </c>
      <c r="E23" s="2" t="str">
        <f>IF(TRIM(Raw_Property_Data!E23)="","Unknown",TRIM(Raw_Property_Data!E23))</f>
        <v>78713</v>
      </c>
      <c r="F23" s="3">
        <f>VALUE(SUBSTITUTE(SUBSTITUTE(Raw_Property_Data!F23,"$",""),",",""))</f>
        <v>454983</v>
      </c>
      <c r="G23" s="2" t="str">
        <f>Raw_Property_Data!G23</f>
        <v>4</v>
      </c>
      <c r="H23" s="2" t="str">
        <f>PROPER(TRIM(Raw_Property_Data!H23))</f>
        <v>Townhouse</v>
      </c>
      <c r="I23" s="4">
        <f>IFERROR(DATEVALUE(Raw_Property_Data!I23),Raw_Property_Data!I23)</f>
        <v>45366</v>
      </c>
      <c r="J23" s="2" t="str">
        <f>IF(COUNTIF($A$5:A23,A23)=1,"Keep","Remove (Duplicate)")</f>
        <v>Keep</v>
      </c>
      <c r="K23" s="2" t="str">
        <f t="shared" si="0"/>
        <v>OK</v>
      </c>
    </row>
    <row r="24" spans="1:11" x14ac:dyDescent="0.3">
      <c r="A24" s="2" t="str">
        <f>TEXT(Raw_Property_Data!A24,"0")</f>
        <v>1006</v>
      </c>
      <c r="B24" s="2" t="str">
        <f>TRIM(CLEAN(Raw_Property_Data!B24))</f>
        <v>115 Birch Blvd</v>
      </c>
      <c r="C24" s="2" t="str">
        <f>PROPER(TRIM(Raw_Property_Data!C24))</f>
        <v>Austin</v>
      </c>
      <c r="D24" s="2" t="str">
        <f>UPPER(TRIM(Raw_Property_Data!D24))</f>
        <v>TX</v>
      </c>
      <c r="E24" s="2" t="str">
        <f>IF(TRIM(Raw_Property_Data!E24)="","Unknown",TRIM(Raw_Property_Data!E24))</f>
        <v>78705</v>
      </c>
      <c r="F24" s="3">
        <f>VALUE(SUBSTITUTE(SUBSTITUTE(Raw_Property_Data!F24,"$",""),",",""))</f>
        <v>269724</v>
      </c>
      <c r="G24" s="2" t="str">
        <f>Raw_Property_Data!G24</f>
        <v>2</v>
      </c>
      <c r="H24" s="2" t="str">
        <f>PROPER(TRIM(Raw_Property_Data!H24))</f>
        <v>Apartment</v>
      </c>
      <c r="I24" s="4">
        <f>IFERROR(DATEVALUE(Raw_Property_Data!I24),Raw_Property_Data!I24)</f>
        <v>45366</v>
      </c>
      <c r="J24" s="2" t="str">
        <f>IF(COUNTIF($A$5:A24,A24)=1,"Keep","Remove (Duplicate)")</f>
        <v>Remove (Duplicate)</v>
      </c>
      <c r="K24" s="2" t="str">
        <f t="shared" si="0"/>
        <v>OK</v>
      </c>
    </row>
  </sheetData>
  <mergeCells count="1">
    <mergeCell ref="A2:M2"/>
  </mergeCells>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8"/>
  <sheetViews>
    <sheetView zoomScaleNormal="100" workbookViewId="0">
      <pane ySplit="4" topLeftCell="A5" activePane="bottomLeft" state="frozen"/>
      <selection pane="bottomLeft" activeCell="L3" sqref="L3"/>
    </sheetView>
  </sheetViews>
  <sheetFormatPr defaultColWidth="8.6640625" defaultRowHeight="14.4" x14ac:dyDescent="0.3"/>
  <cols>
    <col min="1" max="1" width="52.33203125" customWidth="1"/>
    <col min="2" max="2" width="31.6640625" customWidth="1"/>
    <col min="3" max="3" width="20.5546875" customWidth="1"/>
    <col min="4" max="4" width="12.88671875" customWidth="1"/>
    <col min="5" max="5" width="20.77734375" customWidth="1"/>
    <col min="6" max="6" width="23.6640625" customWidth="1"/>
    <col min="7" max="7" width="18.33203125" customWidth="1"/>
    <col min="8" max="8" width="16.44140625" customWidth="1"/>
    <col min="9" max="9" width="18.6640625" customWidth="1"/>
    <col min="10" max="10" width="24" customWidth="1"/>
    <col min="11" max="11" width="23" customWidth="1"/>
    <col min="12" max="12" width="23.88671875" customWidth="1"/>
    <col min="13" max="13" width="21.77734375" customWidth="1"/>
  </cols>
  <sheetData>
    <row r="1" spans="1:14" ht="17.399999999999999" x14ac:dyDescent="0.3">
      <c r="A1" s="1" t="s">
        <v>129</v>
      </c>
    </row>
    <row r="2" spans="1:14" ht="15" customHeight="1" x14ac:dyDescent="0.3">
      <c r="A2" s="26" t="s">
        <v>140</v>
      </c>
      <c r="B2" s="27"/>
      <c r="C2" s="27"/>
      <c r="D2" s="27"/>
      <c r="E2" s="27"/>
      <c r="F2" s="27"/>
      <c r="G2" s="27"/>
      <c r="H2" s="27"/>
      <c r="I2" s="27"/>
      <c r="J2" s="27"/>
      <c r="K2" s="27"/>
      <c r="L2" s="27"/>
      <c r="M2" s="27"/>
    </row>
    <row r="4" spans="1:14" x14ac:dyDescent="0.3">
      <c r="A4" s="20" t="s">
        <v>1</v>
      </c>
      <c r="B4" s="20" t="s">
        <v>2</v>
      </c>
      <c r="C4" s="20" t="s">
        <v>3</v>
      </c>
      <c r="D4" s="20" t="s">
        <v>4</v>
      </c>
      <c r="E4" s="20" t="s">
        <v>5</v>
      </c>
      <c r="F4" s="20" t="s">
        <v>8</v>
      </c>
      <c r="G4" s="20" t="s">
        <v>7</v>
      </c>
      <c r="H4" s="20" t="s">
        <v>6</v>
      </c>
      <c r="I4" s="20" t="s">
        <v>9</v>
      </c>
      <c r="J4" s="20" t="s">
        <v>101</v>
      </c>
      <c r="K4" s="20" t="s">
        <v>130</v>
      </c>
      <c r="L4" s="20" t="s">
        <v>131</v>
      </c>
      <c r="M4" s="20" t="s">
        <v>132</v>
      </c>
      <c r="N4" s="21"/>
    </row>
    <row r="5" spans="1:14" x14ac:dyDescent="0.3">
      <c r="A5" s="2" t="str">
        <f>Cleaned_Property_Data!A5</f>
        <v>1004</v>
      </c>
      <c r="B5" s="2" t="str">
        <f>Cleaned_Property_Data!B5</f>
        <v>109 Elm St</v>
      </c>
      <c r="C5" s="2" t="str">
        <f>Cleaned_Property_Data!C5</f>
        <v>Fort Worth</v>
      </c>
      <c r="D5" s="2" t="str">
        <f>Cleaned_Property_Data!D5</f>
        <v>TX</v>
      </c>
      <c r="E5" s="2" t="str">
        <f>Cleaned_Property_Data!E5</f>
        <v>78703</v>
      </c>
      <c r="F5" s="2" t="str">
        <f>Cleaned_Property_Data!H5</f>
        <v>House</v>
      </c>
      <c r="G5" s="2" t="str">
        <f>Cleaned_Property_Data!G5</f>
        <v>4</v>
      </c>
      <c r="H5" s="3">
        <f>Cleaned_Property_Data!F5</f>
        <v>220111</v>
      </c>
      <c r="I5" s="4">
        <f>Cleaned_Property_Data!I5</f>
        <v>45366</v>
      </c>
      <c r="J5" s="2" t="str">
        <f>IFERROR(INDEX(HistoricalSales[Previous Sale Price],MATCH(A5,HistoricalSales[Property ID],0)),"Not Found")</f>
        <v>Not Found</v>
      </c>
      <c r="K5" s="2" t="str">
        <f>IFERROR(INDEX(HistoricalSales[Sale Date],MATCH(A5,HistoricalSales[Property ID],0)),"Not Found")</f>
        <v>Not Found</v>
      </c>
      <c r="L5" s="5" t="str">
        <f t="shared" ref="L5:L21" si="0">IF(J5="Not Found","Not Found",H5-VALUE(SUBSTITUTE(SUBSTITUTE(J5,"$",""),",","")))</f>
        <v>Not Found</v>
      </c>
      <c r="M5" s="6" t="str">
        <f t="shared" ref="M5:M21" si="1">IF(J5="Not Found","Not Found",L5/VALUE(SUBSTITUTE(SUBSTITUTE(J5,"$",""),",","")))</f>
        <v>Not Found</v>
      </c>
    </row>
    <row r="6" spans="1:14" x14ac:dyDescent="0.3">
      <c r="A6" s="2" t="str">
        <f>Cleaned_Property_Data!A6</f>
        <v>1006</v>
      </c>
      <c r="B6" s="2" t="str">
        <f>Cleaned_Property_Data!B6</f>
        <v>115 Birch Blvd</v>
      </c>
      <c r="C6" s="2" t="str">
        <f>Cleaned_Property_Data!C6</f>
        <v>Austin</v>
      </c>
      <c r="D6" s="2" t="str">
        <f>Cleaned_Property_Data!D6</f>
        <v>TX</v>
      </c>
      <c r="E6" s="2" t="str">
        <f>Cleaned_Property_Data!E6</f>
        <v>78705</v>
      </c>
      <c r="F6" s="2" t="str">
        <f>Cleaned_Property_Data!H6</f>
        <v>Apartment</v>
      </c>
      <c r="G6" s="2" t="str">
        <f>Cleaned_Property_Data!G6</f>
        <v>2</v>
      </c>
      <c r="H6" s="3">
        <f>Cleaned_Property_Data!F6</f>
        <v>269724</v>
      </c>
      <c r="I6" s="4">
        <f>Cleaned_Property_Data!I6</f>
        <v>45366</v>
      </c>
      <c r="J6" s="2" t="str">
        <f>IFERROR(INDEX(HistoricalSales[Previous Sale Price],MATCH(A6,HistoricalSales[Property ID],0)),"Not Found")</f>
        <v>Not Found</v>
      </c>
      <c r="K6" s="2" t="str">
        <f>IFERROR(INDEX(HistoricalSales[Sale Date],MATCH(A6,HistoricalSales[Property ID],0)),"Not Found")</f>
        <v>Not Found</v>
      </c>
      <c r="L6" s="5" t="str">
        <f t="shared" si="0"/>
        <v>Not Found</v>
      </c>
      <c r="M6" s="6" t="str">
        <f t="shared" si="1"/>
        <v>Not Found</v>
      </c>
    </row>
    <row r="7" spans="1:14" x14ac:dyDescent="0.3">
      <c r="A7" s="2" t="str">
        <f>Cleaned_Property_Data!A7</f>
        <v>1011</v>
      </c>
      <c r="B7" s="2" t="str">
        <f>Cleaned_Property_Data!B7</f>
        <v>130 Elm St</v>
      </c>
      <c r="C7" s="2" t="str">
        <f>Cleaned_Property_Data!C7</f>
        <v>Houston</v>
      </c>
      <c r="D7" s="2" t="str">
        <f>Cleaned_Property_Data!D7</f>
        <v>TX</v>
      </c>
      <c r="E7" s="2" t="str">
        <f>Cleaned_Property_Data!E7</f>
        <v>78710</v>
      </c>
      <c r="F7" s="2" t="str">
        <f>Cleaned_Property_Data!H7</f>
        <v>House</v>
      </c>
      <c r="G7" s="2" t="str">
        <f>Cleaned_Property_Data!G7</f>
        <v>3</v>
      </c>
      <c r="H7" s="3">
        <f>Cleaned_Property_Data!F7</f>
        <v>390980</v>
      </c>
      <c r="I7" s="4">
        <f>Cleaned_Property_Data!I7</f>
        <v>45366</v>
      </c>
      <c r="J7" s="2" t="str">
        <f>IFERROR(INDEX(HistoricalSales[Previous Sale Price],MATCH(A7,HistoricalSales[Property ID],0)),"Not Found")</f>
        <v>334295</v>
      </c>
      <c r="K7" s="2" t="str">
        <f>IFERROR(INDEX(HistoricalSales[Sale Date],MATCH(A7,HistoricalSales[Property ID],0)),"Not Found")</f>
        <v>01/10/2021</v>
      </c>
      <c r="L7" s="5">
        <f t="shared" si="0"/>
        <v>56685</v>
      </c>
      <c r="M7" s="6">
        <f t="shared" si="1"/>
        <v>0.16956580265932783</v>
      </c>
    </row>
    <row r="8" spans="1:14" x14ac:dyDescent="0.3">
      <c r="A8" s="2" t="str">
        <f>Cleaned_Property_Data!A8</f>
        <v>1015</v>
      </c>
      <c r="B8" s="2" t="str">
        <f>Cleaned_Property_Data!B8</f>
        <v>142 Sunset Dr</v>
      </c>
      <c r="C8" s="2" t="str">
        <f>Cleaned_Property_Data!C8</f>
        <v>Dallas</v>
      </c>
      <c r="D8" s="2" t="str">
        <f>Cleaned_Property_Data!D8</f>
        <v>TX</v>
      </c>
      <c r="E8" s="2" t="str">
        <f>Cleaned_Property_Data!E8</f>
        <v>Unknown</v>
      </c>
      <c r="F8" s="2" t="str">
        <f>Cleaned_Property_Data!H8</f>
        <v>House</v>
      </c>
      <c r="G8" s="2" t="str">
        <f>Cleaned_Property_Data!G8</f>
        <v>3</v>
      </c>
      <c r="H8" s="3">
        <f>Cleaned_Property_Data!F8</f>
        <v>477287</v>
      </c>
      <c r="I8" s="4">
        <f>Cleaned_Property_Data!I8</f>
        <v>45366</v>
      </c>
      <c r="J8" s="2" t="str">
        <f>IFERROR(INDEX(HistoricalSales[Previous Sale Price],MATCH(A8,HistoricalSales[Property ID],0)),"Not Found")</f>
        <v>407646</v>
      </c>
      <c r="K8" s="2" t="str">
        <f>IFERROR(INDEX(HistoricalSales[Sale Date],MATCH(A8,HistoricalSales[Property ID],0)),"Not Found")</f>
        <v>10-Jan-2021</v>
      </c>
      <c r="L8" s="5">
        <f t="shared" si="0"/>
        <v>69641</v>
      </c>
      <c r="M8" s="6">
        <f t="shared" si="1"/>
        <v>0.17083695166884993</v>
      </c>
    </row>
    <row r="9" spans="1:14" x14ac:dyDescent="0.3">
      <c r="A9" s="2" t="str">
        <f>Cleaned_Property_Data!A9</f>
        <v>1003</v>
      </c>
      <c r="B9" s="2" t="str">
        <f>Cleaned_Property_Data!B9</f>
        <v>106 Oak Ave</v>
      </c>
      <c r="C9" s="2" t="str">
        <f>Cleaned_Property_Data!C9</f>
        <v>Dallas</v>
      </c>
      <c r="D9" s="2" t="str">
        <f>Cleaned_Property_Data!D9</f>
        <v>TX</v>
      </c>
      <c r="E9" s="2" t="str">
        <f>Cleaned_Property_Data!E9</f>
        <v>Unknown</v>
      </c>
      <c r="F9" s="2" t="str">
        <f>Cleaned_Property_Data!H9</f>
        <v>House</v>
      </c>
      <c r="G9" s="2" t="str">
        <f>Cleaned_Property_Data!G9</f>
        <v>5</v>
      </c>
      <c r="H9" s="3">
        <f>Cleaned_Property_Data!F9</f>
        <v>201279</v>
      </c>
      <c r="I9" s="4">
        <f>Cleaned_Property_Data!I9</f>
        <v>45366</v>
      </c>
      <c r="J9" s="2" t="str">
        <f>IFERROR(INDEX(HistoricalSales[Previous Sale Price],MATCH(A9,HistoricalSales[Property ID],0)),"Not Found")</f>
        <v>165949</v>
      </c>
      <c r="K9" s="2" t="str">
        <f>IFERROR(INDEX(HistoricalSales[Sale Date],MATCH(A9,HistoricalSales[Property ID],0)),"Not Found")</f>
        <v>01/10/2021</v>
      </c>
      <c r="L9" s="5">
        <f t="shared" si="0"/>
        <v>35330</v>
      </c>
      <c r="M9" s="6">
        <f t="shared" si="1"/>
        <v>0.21289673333373507</v>
      </c>
    </row>
    <row r="10" spans="1:14" x14ac:dyDescent="0.3">
      <c r="A10" s="2" t="str">
        <f>Cleaned_Property_Data!A11</f>
        <v>1007</v>
      </c>
      <c r="B10" s="2" t="str">
        <f>Cleaned_Property_Data!B11</f>
        <v>118 Lake View Dr</v>
      </c>
      <c r="C10" s="2" t="str">
        <f>Cleaned_Property_Data!C11</f>
        <v>Houston</v>
      </c>
      <c r="D10" s="2" t="str">
        <f>Cleaned_Property_Data!D11</f>
        <v>TX</v>
      </c>
      <c r="E10" s="2" t="str">
        <f>Cleaned_Property_Data!E11</f>
        <v>78706</v>
      </c>
      <c r="F10" s="2" t="str">
        <f>Cleaned_Property_Data!H11</f>
        <v>House</v>
      </c>
      <c r="G10" s="2" t="str">
        <f>Cleaned_Property_Data!G11</f>
        <v>5</v>
      </c>
      <c r="H10" s="3">
        <f>Cleaned_Property_Data!F11</f>
        <v>294527</v>
      </c>
      <c r="I10" s="4">
        <f>Cleaned_Property_Data!I11</f>
        <v>45366</v>
      </c>
      <c r="J10" s="2" t="str">
        <f>IFERROR(INDEX(HistoricalSales[Previous Sale Price],MATCH(A10,HistoricalSales[Property ID],0)),"Not Found")</f>
        <v>252962</v>
      </c>
      <c r="K10" s="2" t="str">
        <f>IFERROR(INDEX(HistoricalSales[Sale Date],MATCH(A10,HistoricalSales[Property ID],0)),"Not Found")</f>
        <v>01/10/2021</v>
      </c>
      <c r="L10" s="5">
        <f t="shared" si="0"/>
        <v>41565</v>
      </c>
      <c r="M10" s="6">
        <f t="shared" si="1"/>
        <v>0.16431321700492565</v>
      </c>
    </row>
    <row r="11" spans="1:14" x14ac:dyDescent="0.3">
      <c r="A11" s="2" t="str">
        <f>Cleaned_Property_Data!A12</f>
        <v>1012</v>
      </c>
      <c r="B11" s="2" t="str">
        <f>Cleaned_Property_Data!B12</f>
        <v>133 Elm St</v>
      </c>
      <c r="C11" s="2" t="str">
        <f>Cleaned_Property_Data!C12</f>
        <v>Dallas</v>
      </c>
      <c r="D11" s="2" t="str">
        <f>Cleaned_Property_Data!D12</f>
        <v>TX</v>
      </c>
      <c r="E11" s="2" t="str">
        <f>Cleaned_Property_Data!E12</f>
        <v>78711</v>
      </c>
      <c r="F11" s="2" t="str">
        <f>Cleaned_Property_Data!H12</f>
        <v>House</v>
      </c>
      <c r="G11" s="2" t="str">
        <f>Cleaned_Property_Data!G12</f>
        <v>3</v>
      </c>
      <c r="H11" s="3">
        <f>Cleaned_Property_Data!F12</f>
        <v>410716</v>
      </c>
      <c r="I11" s="4" t="str">
        <f>Cleaned_Property_Data!I12</f>
        <v>03/15/2024</v>
      </c>
      <c r="J11" s="2" t="str">
        <f>IFERROR(INDEX(HistoricalSales[Previous Sale Price],MATCH(A11,HistoricalSales[Property ID],0)),"Not Found")</f>
        <v>$354,813</v>
      </c>
      <c r="K11" s="2" t="str">
        <f>IFERROR(INDEX(HistoricalSales[Sale Date],MATCH(A11,HistoricalSales[Property ID],0)),"Not Found")</f>
        <v>2021-01-10</v>
      </c>
      <c r="L11" s="5">
        <f t="shared" si="0"/>
        <v>55903</v>
      </c>
      <c r="M11" s="6">
        <f t="shared" si="1"/>
        <v>0.15755623384712511</v>
      </c>
    </row>
    <row r="12" spans="1:14" x14ac:dyDescent="0.3">
      <c r="A12" s="2" t="str">
        <f>Cleaned_Property_Data!A13</f>
        <v>1002</v>
      </c>
      <c r="B12" s="2" t="str">
        <f>Cleaned_Property_Data!B13</f>
        <v>103 Oak Ave</v>
      </c>
      <c r="C12" s="2" t="str">
        <f>Cleaned_Property_Data!C13</f>
        <v>Fort Worth</v>
      </c>
      <c r="D12" s="2" t="str">
        <f>Cleaned_Property_Data!D13</f>
        <v>TX</v>
      </c>
      <c r="E12" s="2" t="str">
        <f>Cleaned_Property_Data!E13</f>
        <v>78701</v>
      </c>
      <c r="F12" s="2" t="str">
        <f>Cleaned_Property_Data!H13</f>
        <v>House</v>
      </c>
      <c r="G12" s="2" t="str">
        <f>Cleaned_Property_Data!G13</f>
        <v>4</v>
      </c>
      <c r="H12" s="3">
        <f>Cleaned_Property_Data!F13</f>
        <v>179174</v>
      </c>
      <c r="I12" s="4" t="str">
        <f>Cleaned_Property_Data!I13</f>
        <v>03/15/2024</v>
      </c>
      <c r="J12" s="2" t="str">
        <f>IFERROR(INDEX(HistoricalSales[Previous Sale Price],MATCH(A12,HistoricalSales[Property ID],0)),"Not Found")</f>
        <v>$146,403</v>
      </c>
      <c r="K12" s="2" t="str">
        <f>IFERROR(INDEX(HistoricalSales[Sale Date],MATCH(A12,HistoricalSales[Property ID],0)),"Not Found")</f>
        <v>10-Jan-2021</v>
      </c>
      <c r="L12" s="5">
        <f t="shared" si="0"/>
        <v>32771</v>
      </c>
      <c r="M12" s="6">
        <f t="shared" si="1"/>
        <v>0.22384104150871226</v>
      </c>
    </row>
    <row r="13" spans="1:14" x14ac:dyDescent="0.3">
      <c r="A13" s="2" t="str">
        <f>Cleaned_Property_Data!A14</f>
        <v>1001</v>
      </c>
      <c r="B13" s="2" t="str">
        <f>Cleaned_Property_Data!B14</f>
        <v>100 Oak Ave</v>
      </c>
      <c r="C13" s="2" t="str">
        <f>Cleaned_Property_Data!C14</f>
        <v>Austin</v>
      </c>
      <c r="D13" s="2" t="str">
        <f>Cleaned_Property_Data!D14</f>
        <v>TX</v>
      </c>
      <c r="E13" s="2" t="str">
        <f>Cleaned_Property_Data!E14</f>
        <v>78700</v>
      </c>
      <c r="F13" s="2" t="str">
        <f>Cleaned_Property_Data!H14</f>
        <v>Condo</v>
      </c>
      <c r="G13" s="2" t="str">
        <f>Cleaned_Property_Data!G14</f>
        <v>3</v>
      </c>
      <c r="H13" s="3">
        <f>Cleaned_Property_Data!F14</f>
        <v>150012</v>
      </c>
      <c r="I13" s="4">
        <f>Cleaned_Property_Data!I14</f>
        <v>45366</v>
      </c>
      <c r="J13" s="2" t="str">
        <f>IFERROR(INDEX(HistoricalSales[Previous Sale Price],MATCH(A13,HistoricalSales[Property ID],0)),"Not Found")</f>
        <v>133689</v>
      </c>
      <c r="K13" s="2" t="str">
        <f>IFERROR(INDEX(HistoricalSales[Sale Date],MATCH(A13,HistoricalSales[Property ID],0)),"Not Found")</f>
        <v>01/10/2021</v>
      </c>
      <c r="L13" s="5">
        <f t="shared" si="0"/>
        <v>16323</v>
      </c>
      <c r="M13" s="6">
        <f t="shared" si="1"/>
        <v>0.1220968067679465</v>
      </c>
    </row>
    <row r="14" spans="1:14" x14ac:dyDescent="0.3">
      <c r="A14" s="2" t="str">
        <f>Cleaned_Property_Data!A15</f>
        <v>1016</v>
      </c>
      <c r="B14" s="2" t="str">
        <f>Cleaned_Property_Data!B15</f>
        <v>145 Cedar Ln</v>
      </c>
      <c r="C14" s="2" t="str">
        <f>Cleaned_Property_Data!C15</f>
        <v>Fort Worth</v>
      </c>
      <c r="D14" s="2" t="str">
        <f>Cleaned_Property_Data!D15</f>
        <v>TX</v>
      </c>
      <c r="E14" s="2" t="str">
        <f>Cleaned_Property_Data!E15</f>
        <v>78715</v>
      </c>
      <c r="F14" s="2" t="str">
        <f>Cleaned_Property_Data!H15</f>
        <v>Apartment</v>
      </c>
      <c r="G14" s="2" t="str">
        <f>Cleaned_Property_Data!G15</f>
        <v>4</v>
      </c>
      <c r="H14" s="3">
        <f>Cleaned_Property_Data!F15</f>
        <v>508060</v>
      </c>
      <c r="I14" s="4" t="str">
        <f>Cleaned_Property_Data!I15</f>
        <v>03/15/2024</v>
      </c>
      <c r="J14" s="2" t="str">
        <f>IFERROR(INDEX(HistoricalSales[Previous Sale Price],MATCH(A14,HistoricalSales[Property ID],0)),"Not Found")</f>
        <v>Not Found</v>
      </c>
      <c r="K14" s="2" t="str">
        <f>IFERROR(INDEX(HistoricalSales[Sale Date],MATCH(A14,HistoricalSales[Property ID],0)),"Not Found")</f>
        <v>Not Found</v>
      </c>
      <c r="L14" s="5" t="str">
        <f t="shared" si="0"/>
        <v>Not Found</v>
      </c>
      <c r="M14" s="6" t="str">
        <f t="shared" si="1"/>
        <v>Not Found</v>
      </c>
    </row>
    <row r="15" spans="1:14" x14ac:dyDescent="0.3">
      <c r="A15" s="2" t="str">
        <f>Cleaned_Property_Data!A16</f>
        <v>1005</v>
      </c>
      <c r="B15" s="2" t="str">
        <f>Cleaned_Property_Data!B16</f>
        <v>112 Maple St</v>
      </c>
      <c r="C15" s="2" t="str">
        <f>Cleaned_Property_Data!C16</f>
        <v>Dallas</v>
      </c>
      <c r="D15" s="2" t="str">
        <f>Cleaned_Property_Data!D16</f>
        <v>TX</v>
      </c>
      <c r="E15" s="2" t="str">
        <f>Cleaned_Property_Data!E16</f>
        <v>78704</v>
      </c>
      <c r="F15" s="2" t="str">
        <f>Cleaned_Property_Data!H16</f>
        <v>Condo</v>
      </c>
      <c r="G15" s="2" t="str">
        <f>Cleaned_Property_Data!G16</f>
        <v>3</v>
      </c>
      <c r="H15" s="3">
        <f>Cleaned_Property_Data!F16</f>
        <v>245574</v>
      </c>
      <c r="I15" s="4" t="str">
        <f>Cleaned_Property_Data!I16</f>
        <v>03/15/2024</v>
      </c>
      <c r="J15" s="2" t="str">
        <f>IFERROR(INDEX(HistoricalSales[Previous Sale Price],MATCH(A15,HistoricalSales[Property ID],0)),"Not Found")</f>
        <v>206832</v>
      </c>
      <c r="K15" s="2" t="str">
        <f>IFERROR(INDEX(HistoricalSales[Sale Date],MATCH(A15,HistoricalSales[Property ID],0)),"Not Found")</f>
        <v>2021-01-10</v>
      </c>
      <c r="L15" s="5">
        <f t="shared" si="0"/>
        <v>38742</v>
      </c>
      <c r="M15" s="6">
        <f t="shared" si="1"/>
        <v>0.18731144116964493</v>
      </c>
    </row>
    <row r="16" spans="1:14" x14ac:dyDescent="0.3">
      <c r="A16" s="2" t="str">
        <f>Cleaned_Property_Data!A17</f>
        <v>1009</v>
      </c>
      <c r="B16" s="2" t="str">
        <f>Cleaned_Property_Data!B17</f>
        <v>124 Oak Ave</v>
      </c>
      <c r="C16" s="2" t="str">
        <f>Cleaned_Property_Data!C17</f>
        <v>Austin</v>
      </c>
      <c r="D16" s="2" t="str">
        <f>Cleaned_Property_Data!D17</f>
        <v>TX</v>
      </c>
      <c r="E16" s="2" t="str">
        <f>Cleaned_Property_Data!E17</f>
        <v>78708</v>
      </c>
      <c r="F16" s="2" t="str">
        <f>Cleaned_Property_Data!H17</f>
        <v>Condo</v>
      </c>
      <c r="G16" s="2" t="str">
        <f>Cleaned_Property_Data!G17</f>
        <v>2</v>
      </c>
      <c r="H16" s="3">
        <f>Cleaned_Property_Data!F17</f>
        <v>338741</v>
      </c>
      <c r="I16" s="4" t="str">
        <f>Cleaned_Property_Data!I17</f>
        <v>03/15/2024</v>
      </c>
      <c r="J16" s="2" t="str">
        <f>IFERROR(INDEX(HistoricalSales[Previous Sale Price],MATCH(A16,HistoricalSales[Property ID],0)),"Not Found")</f>
        <v>290038</v>
      </c>
      <c r="K16" s="2" t="str">
        <f>IFERROR(INDEX(HistoricalSales[Sale Date],MATCH(A16,HistoricalSales[Property ID],0)),"Not Found")</f>
        <v>01/10/2021</v>
      </c>
      <c r="L16" s="5">
        <f t="shared" si="0"/>
        <v>48703</v>
      </c>
      <c r="M16" s="6">
        <f t="shared" si="1"/>
        <v>0.16791937608175481</v>
      </c>
    </row>
    <row r="17" spans="1:13" x14ac:dyDescent="0.3">
      <c r="A17" s="2" t="str">
        <f>Cleaned_Property_Data!A18</f>
        <v>1008</v>
      </c>
      <c r="B17" s="2" t="str">
        <f>Cleaned_Property_Data!B18</f>
        <v>121 Oak Ave</v>
      </c>
      <c r="C17" s="2" t="str">
        <f>Cleaned_Property_Data!C18</f>
        <v>Fort Worth</v>
      </c>
      <c r="D17" s="2" t="str">
        <f>Cleaned_Property_Data!D18</f>
        <v>TX</v>
      </c>
      <c r="E17" s="2" t="str">
        <f>Cleaned_Property_Data!E18</f>
        <v>78707</v>
      </c>
      <c r="F17" s="2" t="str">
        <f>Cleaned_Property_Data!H18</f>
        <v>Condo</v>
      </c>
      <c r="G17" s="2" t="str">
        <f>Cleaned_Property_Data!G18</f>
        <v>5</v>
      </c>
      <c r="H17" s="3">
        <f>Cleaned_Property_Data!F18</f>
        <v>316425</v>
      </c>
      <c r="I17" s="4">
        <f>Cleaned_Property_Data!I18</f>
        <v>45366</v>
      </c>
      <c r="J17" s="2" t="str">
        <f>IFERROR(INDEX(HistoricalSales[Previous Sale Price],MATCH(A17,HistoricalSales[Property ID],0)),"Not Found")</f>
        <v>$272,787</v>
      </c>
      <c r="K17" s="2" t="str">
        <f>IFERROR(INDEX(HistoricalSales[Sale Date],MATCH(A17,HistoricalSales[Property ID],0)),"Not Found")</f>
        <v>10-Jan-2021</v>
      </c>
      <c r="L17" s="5">
        <f t="shared" si="0"/>
        <v>43638</v>
      </c>
      <c r="M17" s="6">
        <f t="shared" si="1"/>
        <v>0.15997096635836752</v>
      </c>
    </row>
    <row r="18" spans="1:13" x14ac:dyDescent="0.3">
      <c r="A18" s="2" t="str">
        <f>Cleaned_Property_Data!A19</f>
        <v>1010</v>
      </c>
      <c r="B18" s="2" t="str">
        <f>Cleaned_Property_Data!B19</f>
        <v>127 Willow Ct</v>
      </c>
      <c r="C18" s="2" t="str">
        <f>Cleaned_Property_Data!C19</f>
        <v>Houston</v>
      </c>
      <c r="D18" s="2" t="str">
        <f>Cleaned_Property_Data!D19</f>
        <v>TX</v>
      </c>
      <c r="E18" s="2" t="str">
        <f>Cleaned_Property_Data!E19</f>
        <v>Unknown</v>
      </c>
      <c r="F18" s="2" t="str">
        <f>Cleaned_Property_Data!H19</f>
        <v>Apartment</v>
      </c>
      <c r="G18" s="2" t="str">
        <f>Cleaned_Property_Data!G19</f>
        <v>3</v>
      </c>
      <c r="H18" s="3">
        <f>Cleaned_Property_Data!F19</f>
        <v>363477</v>
      </c>
      <c r="I18" s="4">
        <f>Cleaned_Property_Data!I19</f>
        <v>45366</v>
      </c>
      <c r="J18" s="2" t="str">
        <f>IFERROR(INDEX(HistoricalSales[Previous Sale Price],MATCH(A18,HistoricalSales[Property ID],0)),"Not Found")</f>
        <v>$307,103</v>
      </c>
      <c r="K18" s="2" t="str">
        <f>IFERROR(INDEX(HistoricalSales[Sale Date],MATCH(A18,HistoricalSales[Property ID],0)),"Not Found")</f>
        <v>10-Jan-2021</v>
      </c>
      <c r="L18" s="5">
        <f t="shared" si="0"/>
        <v>56374</v>
      </c>
      <c r="M18" s="6">
        <f t="shared" si="1"/>
        <v>0.18356707684392531</v>
      </c>
    </row>
    <row r="19" spans="1:13" x14ac:dyDescent="0.3">
      <c r="A19" s="2" t="str">
        <f>Cleaned_Property_Data!A20</f>
        <v>1017</v>
      </c>
      <c r="B19" s="2" t="str">
        <f>Cleaned_Property_Data!B20</f>
        <v>148 Pine Rd</v>
      </c>
      <c r="C19" s="2" t="str">
        <f>Cleaned_Property_Data!C20</f>
        <v>Fort Worth</v>
      </c>
      <c r="D19" s="2" t="str">
        <f>Cleaned_Property_Data!D20</f>
        <v>TX</v>
      </c>
      <c r="E19" s="2" t="str">
        <f>Cleaned_Property_Data!E20</f>
        <v>78716</v>
      </c>
      <c r="F19" s="2" t="str">
        <f>Cleaned_Property_Data!H20</f>
        <v>House</v>
      </c>
      <c r="G19" s="2" t="str">
        <f>Cleaned_Property_Data!G20</f>
        <v>2</v>
      </c>
      <c r="H19" s="3">
        <f>Cleaned_Property_Data!F20</f>
        <v>523489</v>
      </c>
      <c r="I19" s="4" t="str">
        <f>Cleaned_Property_Data!I20</f>
        <v>03/15/2024</v>
      </c>
      <c r="J19" s="2" t="str">
        <f>IFERROR(INDEX(HistoricalSales[Previous Sale Price],MATCH(A19,HistoricalSales[Property ID],0)),"Not Found")</f>
        <v>453727</v>
      </c>
      <c r="K19" s="2" t="str">
        <f>IFERROR(INDEX(HistoricalSales[Sale Date],MATCH(A19,HistoricalSales[Property ID],0)),"Not Found")</f>
        <v>01/10/2021</v>
      </c>
      <c r="L19" s="5">
        <f t="shared" si="0"/>
        <v>69762</v>
      </c>
      <c r="M19" s="6">
        <f t="shared" si="1"/>
        <v>0.1537532480985262</v>
      </c>
    </row>
    <row r="20" spans="1:13" x14ac:dyDescent="0.3">
      <c r="A20" s="2" t="str">
        <f>Cleaned_Property_Data!A21</f>
        <v>1013</v>
      </c>
      <c r="B20" s="2" t="str">
        <f>Cleaned_Property_Data!B21</f>
        <v>136 Birch Blvd</v>
      </c>
      <c r="C20" s="2" t="str">
        <f>Cleaned_Property_Data!C21</f>
        <v>Austin</v>
      </c>
      <c r="D20" s="2" t="str">
        <f>Cleaned_Property_Data!D21</f>
        <v>TX</v>
      </c>
      <c r="E20" s="2" t="str">
        <f>Cleaned_Property_Data!E21</f>
        <v>78712</v>
      </c>
      <c r="F20" s="2" t="str">
        <f>Cleaned_Property_Data!H21</f>
        <v>Townhouse</v>
      </c>
      <c r="G20" s="2" t="str">
        <f>Cleaned_Property_Data!G21</f>
        <v>3</v>
      </c>
      <c r="H20" s="3">
        <f>Cleaned_Property_Data!F21</f>
        <v>428525</v>
      </c>
      <c r="I20" s="4">
        <f>Cleaned_Property_Data!I21</f>
        <v>45366</v>
      </c>
      <c r="J20" s="2" t="str">
        <f>IFERROR(INDEX(HistoricalSales[Previous Sale Price],MATCH(A20,HistoricalSales[Property ID],0)),"Not Found")</f>
        <v>Not Found</v>
      </c>
      <c r="K20" s="2" t="str">
        <f>IFERROR(INDEX(HistoricalSales[Sale Date],MATCH(A20,HistoricalSales[Property ID],0)),"Not Found")</f>
        <v>Not Found</v>
      </c>
      <c r="L20" s="5" t="str">
        <f t="shared" si="0"/>
        <v>Not Found</v>
      </c>
      <c r="M20" s="6" t="str">
        <f t="shared" si="1"/>
        <v>Not Found</v>
      </c>
    </row>
    <row r="21" spans="1:13" x14ac:dyDescent="0.3">
      <c r="A21" s="2" t="str">
        <f>Cleaned_Property_Data!A23</f>
        <v>1014</v>
      </c>
      <c r="B21" s="2" t="str">
        <f>Cleaned_Property_Data!B23</f>
        <v>139 Oak Ave</v>
      </c>
      <c r="C21" s="2" t="str">
        <f>Cleaned_Property_Data!C23</f>
        <v>Dallas</v>
      </c>
      <c r="D21" s="2" t="str">
        <f>Cleaned_Property_Data!D23</f>
        <v>TX</v>
      </c>
      <c r="E21" s="2" t="str">
        <f>Cleaned_Property_Data!E23</f>
        <v>78713</v>
      </c>
      <c r="F21" s="2" t="str">
        <f>Cleaned_Property_Data!H23</f>
        <v>Townhouse</v>
      </c>
      <c r="G21" s="2" t="str">
        <f>Cleaned_Property_Data!G23</f>
        <v>4</v>
      </c>
      <c r="H21" s="3">
        <f>Cleaned_Property_Data!F23</f>
        <v>454983</v>
      </c>
      <c r="I21" s="4">
        <f>Cleaned_Property_Data!I23</f>
        <v>45366</v>
      </c>
      <c r="J21" s="2" t="str">
        <f>IFERROR(INDEX(HistoricalSales[Previous Sale Price],MATCH(A21,HistoricalSales[Property ID],0)),"Not Found")</f>
        <v>$393,005</v>
      </c>
      <c r="K21" s="2" t="str">
        <f>IFERROR(INDEX(HistoricalSales[Sale Date],MATCH(A21,HistoricalSales[Property ID],0)),"Not Found")</f>
        <v>01/10/2021</v>
      </c>
      <c r="L21" s="5">
        <f t="shared" si="0"/>
        <v>61978</v>
      </c>
      <c r="M21" s="6">
        <f t="shared" si="1"/>
        <v>0.15770282820829251</v>
      </c>
    </row>
    <row r="24" spans="1:13" ht="15.6" x14ac:dyDescent="0.3">
      <c r="A24" s="7" t="s">
        <v>133</v>
      </c>
    </row>
    <row r="25" spans="1:13" x14ac:dyDescent="0.3">
      <c r="A25" s="8" t="s">
        <v>134</v>
      </c>
      <c r="B25" s="9">
        <f>COUNTIF(Cleaned_Property_Data!J5:J24,"Remove (Duplicate)")</f>
        <v>3</v>
      </c>
    </row>
    <row r="26" spans="1:13" x14ac:dyDescent="0.3">
      <c r="A26" s="8" t="s">
        <v>135</v>
      </c>
      <c r="B26" s="9">
        <f>COUNTIF(Cleaned_Property_Data!K5:K24,"Missing ZIP")</f>
        <v>4</v>
      </c>
    </row>
    <row r="27" spans="1:13" x14ac:dyDescent="0.3">
      <c r="A27" s="8" t="s">
        <v>136</v>
      </c>
      <c r="B27" s="9">
        <f>COUNTIF(J5:J21,"Not Found")</f>
        <v>4</v>
      </c>
    </row>
    <row r="28" spans="1:13" x14ac:dyDescent="0.3">
      <c r="A28" s="8" t="s">
        <v>137</v>
      </c>
      <c r="B28" s="9">
        <f>COUNTA(A5:A21)</f>
        <v>17</v>
      </c>
    </row>
  </sheetData>
  <mergeCells count="1">
    <mergeCell ref="A2:M2"/>
  </mergeCells>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Raw_Property_Data</vt:lpstr>
      <vt:lpstr>Historical_Sales</vt:lpstr>
      <vt:lpstr>Cleaned_Property_Data</vt:lpstr>
      <vt:lpstr>Final_Data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Palak Gujarkar</cp:lastModifiedBy>
  <cp:revision>0</cp:revision>
  <dcterms:created xsi:type="dcterms:W3CDTF">2026-08-22T14:41:37Z</dcterms:created>
  <dcterms:modified xsi:type="dcterms:W3CDTF">2026-08-22T15:10:49Z</dcterms:modified>
  <dc:language>en-US</dc:language>
</cp:coreProperties>
</file>