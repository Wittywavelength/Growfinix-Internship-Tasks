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8_{0EA9C678-D7AB-40B0-8146-0AC68C47FB8E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Raw Data" sheetId="1" r:id="rId1"/>
    <sheet name="Genre ROI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4" i="2" l="1"/>
  <c r="D14" i="2"/>
  <c r="C14" i="2"/>
  <c r="F12" i="2"/>
  <c r="E12" i="2"/>
  <c r="D12" i="2"/>
  <c r="C12" i="2"/>
  <c r="B12" i="2"/>
  <c r="F11" i="2"/>
  <c r="E11" i="2"/>
  <c r="D11" i="2"/>
  <c r="C11" i="2"/>
  <c r="B11" i="2"/>
  <c r="F10" i="2"/>
  <c r="E10" i="2"/>
  <c r="D10" i="2"/>
  <c r="C10" i="2"/>
  <c r="B10" i="2"/>
  <c r="F9" i="2"/>
  <c r="D9" i="2"/>
  <c r="C9" i="2"/>
  <c r="B9" i="2"/>
  <c r="F8" i="2"/>
  <c r="E8" i="2"/>
  <c r="D8" i="2"/>
  <c r="C8" i="2"/>
  <c r="B8" i="2"/>
  <c r="F7" i="2"/>
  <c r="E7" i="2"/>
  <c r="D7" i="2"/>
  <c r="C7" i="2"/>
  <c r="B7" i="2"/>
  <c r="F6" i="2"/>
  <c r="E6" i="2"/>
  <c r="D6" i="2"/>
  <c r="C6" i="2"/>
  <c r="B6" i="2"/>
  <c r="F5" i="2"/>
  <c r="E5" i="2"/>
  <c r="D5" i="2"/>
  <c r="C5" i="2"/>
  <c r="B5" i="2"/>
  <c r="B14" i="2" s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E9" i="2" l="1"/>
  <c r="E14" i="2"/>
</calcChain>
</file>

<file path=xl/sharedStrings.xml><?xml version="1.0" encoding="utf-8"?>
<sst xmlns="http://schemas.openxmlformats.org/spreadsheetml/2006/main" count="96" uniqueCount="60">
  <si>
    <t>Movie_ID</t>
  </si>
  <si>
    <t>Movie_Title</t>
  </si>
  <si>
    <t>Release_Year</t>
  </si>
  <si>
    <t>Genre</t>
  </si>
  <si>
    <t>Production_Cost_Million_USD</t>
  </si>
  <si>
    <t>Revenue_Million_USD</t>
  </si>
  <si>
    <t>IMDb_Rating</t>
  </si>
  <si>
    <t>ROI</t>
  </si>
  <si>
    <t>Sky Warriors</t>
  </si>
  <si>
    <t>Action</t>
  </si>
  <si>
    <t>Love Again</t>
  </si>
  <si>
    <t>Romance</t>
  </si>
  <si>
    <t>Dark Forest</t>
  </si>
  <si>
    <t>Horror</t>
  </si>
  <si>
    <t>City Lights</t>
  </si>
  <si>
    <t>Drama</t>
  </si>
  <si>
    <t>Galaxy Quest</t>
  </si>
  <si>
    <t>Sci-Fi</t>
  </si>
  <si>
    <t>Funny Friends</t>
  </si>
  <si>
    <t>Comedy</t>
  </si>
  <si>
    <t>The Last Mission</t>
  </si>
  <si>
    <t>Summer Dreams</t>
  </si>
  <si>
    <t>Ocean Deep</t>
  </si>
  <si>
    <t>Adventure</t>
  </si>
  <si>
    <t>Mystery House</t>
  </si>
  <si>
    <t>Thriller</t>
  </si>
  <si>
    <t>Future World</t>
  </si>
  <si>
    <t>Family Time</t>
  </si>
  <si>
    <t>Red Planet</t>
  </si>
  <si>
    <t>Hidden Truth</t>
  </si>
  <si>
    <t>Road Warriors</t>
  </si>
  <si>
    <t>Sweet Melody</t>
  </si>
  <si>
    <t>Wild Earth</t>
  </si>
  <si>
    <t>Laugh Out</t>
  </si>
  <si>
    <t>Silent Night</t>
  </si>
  <si>
    <t>Royal Legacy</t>
  </si>
  <si>
    <t>Space Beyond</t>
  </si>
  <si>
    <t>The Chase</t>
  </si>
  <si>
    <t>Mountain Call</t>
  </si>
  <si>
    <t>Perfect Match</t>
  </si>
  <si>
    <t>War Zone</t>
  </si>
  <si>
    <t>Broken Dreams</t>
  </si>
  <si>
    <t>Ghost Valley</t>
  </si>
  <si>
    <t>Comic Nights</t>
  </si>
  <si>
    <t>Deep Sea</t>
  </si>
  <si>
    <t>Cyber Future</t>
  </si>
  <si>
    <t>Love Story</t>
  </si>
  <si>
    <t>Final Hour</t>
  </si>
  <si>
    <t>Action Point</t>
  </si>
  <si>
    <t>Family Bond</t>
  </si>
  <si>
    <t>Dark Secrets</t>
  </si>
  <si>
    <t>ROI by Genre (proxy for comparing media formats)</t>
  </si>
  <si>
    <t>Avg Production Cost ($M)</t>
  </si>
  <si>
    <t>Avg Revenue ($M)</t>
  </si>
  <si>
    <t>Avg ROI</t>
  </si>
  <si>
    <t>Avg IMDb Rating</t>
  </si>
  <si>
    <t>ALL TITLES</t>
  </si>
  <si>
    <t>Media Production Cost Tracking Dataset</t>
  </si>
  <si>
    <t># Description :- Analyze a dataset detailing the production costs of various digital media assets. Write queries to categorize expreness between ultra realistic DSLR protrails and cinematic animation video,calculating the ROI for different media formats.</t>
  </si>
  <si>
    <t xml:space="preserve"> Titles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</si>
</sst>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"/>
    <numFmt numFmtId="165" formatCode="0.0%"/>
    <numFmt numFmtId="166" formatCode="\$#,##0.0"/>
  </numFmts>
  <fonts count="6" x14ac:knownFonts="1">
    <font>
      <sz val="11"/>
      <color theme="1"/>
      <name val="Calibri"/>
      <family val="2"/>
      <charset val="1"/>
    </font>
    <font>
      <b/>
      <sz val="14"/>
      <color rgb="FF1F4E78"/>
      <name val="Arial"/>
      <charset val="1"/>
    </font>
    <font>
      <i/>
      <sz val="10"/>
      <color rgb="FF666666"/>
      <name val="Arial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1" xfId="0" applyFont="1" applyBorder="1"/>
    <xf numFmtId="164" fontId="4" fillId="0" borderId="1" xfId="0" applyNumberFormat="1" applyFont="1" applyBorder="1"/>
    <xf numFmtId="165" fontId="0" fillId="0" borderId="1" xfId="0" applyNumberFormat="1" applyBorder="1"/>
    <xf numFmtId="166" fontId="4" fillId="0" borderId="1" xfId="0" applyNumberFormat="1" applyFont="1" applyBorder="1"/>
    <xf numFmtId="2" fontId="4" fillId="0" borderId="1" xfId="0" applyNumberFormat="1" applyFont="1" applyBorder="1"/>
    <xf numFmtId="0" fontId="5" fillId="0" borderId="1" xfId="0" applyFont="1" applyBorder="1"/>
    <xf numFmtId="166" fontId="5" fillId="0" borderId="1" xfId="0" applyNumberFormat="1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78787"/>
      <rgbColor rgb="FF9999FF"/>
      <rgbColor rgb="FF993366"/>
      <rgbColor rgb="FFF9F9F9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'Genre ROI Summary'!$E$4</c:f>
              <c:strCache>
                <c:ptCount val="1"/>
                <c:pt idx="0">
                  <c:v>Avg ROI</c:v>
                </c:pt>
              </c:strCache>
            </c:strRef>
          </c:tx>
          <c:spPr>
            <a:gradFill>
              <a:gsLst>
                <a:gs pos="0">
                  <a:schemeClr val="accent2">
                    <a:shade val="51000"/>
                  </a:schemeClr>
                </a:gs>
                <a:gs pos="80000">
                  <a:schemeClr val="accent2">
                    <a:shade val="93000"/>
                  </a:schemeClr>
                </a:gs>
                <a:gs pos="100000">
                  <a:schemeClr val="accent2">
                    <a:shade val="94000"/>
                  </a:schemeClr>
                </a:gs>
              </a:gsLst>
              <a:lin ang="16200000" scaled="0"/>
              <a:tileRect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</a:ln>
              <a:effectLst/>
            </c:spPr>
            <c:trendlineType val="linear"/>
            <c:dispRSqr val="0"/>
            <c:dispEq val="0"/>
          </c:trendline>
          <c:errBars>
            <c:errBarType val="both"/>
            <c:errValType val="stdErr"/>
            <c:noEndCap val="0"/>
            <c:spPr>
              <a:noFill/>
              <a:ln w="9525" cap="flat" cmpd="sng" algn="ctr">
                <a:solidFill>
                  <a:schemeClr val="lt1">
                    <a:lumMod val="95000"/>
                  </a:schemeClr>
                </a:solidFill>
                <a:round/>
              </a:ln>
              <a:effectLst/>
            </c:spPr>
          </c:errBars>
          <c:cat>
            <c:strRef>
              <c:f>'Genre ROI Summary'!$A$5:$A$12</c:f>
              <c:strCache>
                <c:ptCount val="8"/>
                <c:pt idx="0">
                  <c:v>Action</c:v>
                </c:pt>
                <c:pt idx="1">
                  <c:v>Adventure</c:v>
                </c:pt>
                <c:pt idx="2">
                  <c:v>Comedy</c:v>
                </c:pt>
                <c:pt idx="3">
                  <c:v>Drama</c:v>
                </c:pt>
                <c:pt idx="4">
                  <c:v>Horror</c:v>
                </c:pt>
                <c:pt idx="5">
                  <c:v>Romance</c:v>
                </c:pt>
                <c:pt idx="6">
                  <c:v>Sci-Fi</c:v>
                </c:pt>
                <c:pt idx="7">
                  <c:v>Thriller</c:v>
                </c:pt>
              </c:strCache>
            </c:strRef>
          </c:cat>
          <c:val>
            <c:numRef>
              <c:f>'Genre ROI Summary'!$E$5:$E$12</c:f>
              <c:numCache>
                <c:formatCode>0.0%</c:formatCode>
                <c:ptCount val="8"/>
                <c:pt idx="0">
                  <c:v>1.694329004329004</c:v>
                </c:pt>
                <c:pt idx="1">
                  <c:v>2.1014880952380954</c:v>
                </c:pt>
                <c:pt idx="2">
                  <c:v>4.0242424242424244</c:v>
                </c:pt>
                <c:pt idx="3">
                  <c:v>2.5340413533834587</c:v>
                </c:pt>
                <c:pt idx="4">
                  <c:v>3.0639880952380953</c:v>
                </c:pt>
                <c:pt idx="5">
                  <c:v>3.4631954320189613</c:v>
                </c:pt>
                <c:pt idx="6">
                  <c:v>1.5713348416289594</c:v>
                </c:pt>
                <c:pt idx="7">
                  <c:v>2.9087053571428569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4-4A5A-9D6F-72831D23B58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53290408"/>
        <c:axId val="2006029"/>
      </c:barChart>
      <c:catAx>
        <c:axId val="5329040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06029"/>
        <c:crosses val="autoZero"/>
        <c:auto val="1"/>
        <c:lblAlgn val="ctr"/>
        <c:lblOffset val="100"/>
        <c:noMultiLvlLbl val="0"/>
      </c:catAx>
      <c:valAx>
        <c:axId val="200602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29040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0</xdr:colOff>
      <xdr:row>2</xdr:row>
      <xdr:rowOff>48600</xdr:rowOff>
    </xdr:from>
    <xdr:to>
      <xdr:col>17</xdr:col>
      <xdr:colOff>364680</xdr:colOff>
      <xdr:row>18</xdr:row>
      <xdr:rowOff>89640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9"/>
  <sheetViews>
    <sheetView zoomScale="92" zoomScaleNormal="100" workbookViewId="0">
      <pane ySplit="4" topLeftCell="A5" activePane="bottomLeft" state="frozen"/>
      <selection pane="bottomLeft" activeCell="D1" sqref="D1"/>
    </sheetView>
  </sheetViews>
  <sheetFormatPr defaultColWidth="8.6640625" defaultRowHeight="14.4" x14ac:dyDescent="0.3"/>
  <cols>
    <col min="1" max="1" width="15.109375" customWidth="1"/>
    <col min="2" max="2" width="22" customWidth="1"/>
    <col min="3" max="3" width="17.6640625" customWidth="1"/>
    <col min="4" max="4" width="13.21875" customWidth="1"/>
    <col min="5" max="5" width="34" customWidth="1"/>
    <col min="6" max="6" width="26.77734375" customWidth="1"/>
    <col min="7" max="7" width="17.6640625" customWidth="1"/>
    <col min="8" max="8" width="16.33203125" customWidth="1"/>
  </cols>
  <sheetData>
    <row r="1" spans="1:8" ht="17.399999999999999" x14ac:dyDescent="0.3">
      <c r="A1" s="1" t="s">
        <v>57</v>
      </c>
    </row>
    <row r="2" spans="1:8" x14ac:dyDescent="0.3">
      <c r="A2" t="s">
        <v>58</v>
      </c>
    </row>
    <row r="4" spans="1:8" x14ac:dyDescent="0.3">
      <c r="A4" s="2" t="s">
        <v>0</v>
      </c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</row>
    <row r="5" spans="1:8" x14ac:dyDescent="0.3">
      <c r="A5" s="3">
        <v>1</v>
      </c>
      <c r="B5" s="3" t="s">
        <v>8</v>
      </c>
      <c r="C5" s="3">
        <v>2020</v>
      </c>
      <c r="D5" s="3" t="s">
        <v>9</v>
      </c>
      <c r="E5" s="4">
        <v>45</v>
      </c>
      <c r="F5" s="4">
        <v>120</v>
      </c>
      <c r="G5" s="3">
        <v>8.1</v>
      </c>
      <c r="H5" s="5">
        <f t="shared" ref="H5:H39" si="0">(F5-E5)/E5</f>
        <v>1.6666666666666667</v>
      </c>
    </row>
    <row r="6" spans="1:8" x14ac:dyDescent="0.3">
      <c r="A6" s="3">
        <v>2</v>
      </c>
      <c r="B6" s="3" t="s">
        <v>10</v>
      </c>
      <c r="C6" s="3">
        <v>2020</v>
      </c>
      <c r="D6" s="3" t="s">
        <v>11</v>
      </c>
      <c r="E6" s="4">
        <v>12</v>
      </c>
      <c r="F6" s="4">
        <v>55</v>
      </c>
      <c r="G6" s="3">
        <v>7.2</v>
      </c>
      <c r="H6" s="5">
        <f t="shared" si="0"/>
        <v>3.5833333333333335</v>
      </c>
    </row>
    <row r="7" spans="1:8" x14ac:dyDescent="0.3">
      <c r="A7" s="3">
        <v>3</v>
      </c>
      <c r="B7" s="3" t="s">
        <v>12</v>
      </c>
      <c r="C7" s="3">
        <v>2021</v>
      </c>
      <c r="D7" s="3" t="s">
        <v>13</v>
      </c>
      <c r="E7" s="4">
        <v>18</v>
      </c>
      <c r="F7" s="4">
        <v>72</v>
      </c>
      <c r="G7" s="3">
        <v>7.8</v>
      </c>
      <c r="H7" s="5">
        <f t="shared" si="0"/>
        <v>3</v>
      </c>
    </row>
    <row r="8" spans="1:8" x14ac:dyDescent="0.3">
      <c r="A8" s="3">
        <v>4</v>
      </c>
      <c r="B8" s="3" t="s">
        <v>14</v>
      </c>
      <c r="C8" s="3">
        <v>2021</v>
      </c>
      <c r="D8" s="3" t="s">
        <v>15</v>
      </c>
      <c r="E8" s="4">
        <v>20</v>
      </c>
      <c r="F8" s="4">
        <v>68</v>
      </c>
      <c r="G8" s="3">
        <v>7.5</v>
      </c>
      <c r="H8" s="5">
        <f t="shared" si="0"/>
        <v>2.4</v>
      </c>
    </row>
    <row r="9" spans="1:8" x14ac:dyDescent="0.3">
      <c r="A9" s="3">
        <v>5</v>
      </c>
      <c r="B9" s="3" t="s">
        <v>16</v>
      </c>
      <c r="C9" s="3">
        <v>2022</v>
      </c>
      <c r="D9" s="3" t="s">
        <v>17</v>
      </c>
      <c r="E9" s="4">
        <v>80</v>
      </c>
      <c r="F9" s="4">
        <v>210</v>
      </c>
      <c r="G9" s="3">
        <v>8.4</v>
      </c>
      <c r="H9" s="5">
        <f t="shared" si="0"/>
        <v>1.625</v>
      </c>
    </row>
    <row r="10" spans="1:8" x14ac:dyDescent="0.3">
      <c r="A10" s="3">
        <v>6</v>
      </c>
      <c r="B10" s="3" t="s">
        <v>18</v>
      </c>
      <c r="C10" s="3">
        <v>2022</v>
      </c>
      <c r="D10" s="3" t="s">
        <v>19</v>
      </c>
      <c r="E10" s="4">
        <v>10</v>
      </c>
      <c r="F10" s="4">
        <v>48</v>
      </c>
      <c r="G10" s="3">
        <v>6.9</v>
      </c>
      <c r="H10" s="5">
        <f t="shared" si="0"/>
        <v>3.8</v>
      </c>
    </row>
    <row r="11" spans="1:8" x14ac:dyDescent="0.3">
      <c r="A11" s="3">
        <v>7</v>
      </c>
      <c r="B11" s="3" t="s">
        <v>20</v>
      </c>
      <c r="C11" s="3">
        <v>2023</v>
      </c>
      <c r="D11" s="3" t="s">
        <v>9</v>
      </c>
      <c r="E11" s="4">
        <v>60</v>
      </c>
      <c r="F11" s="4">
        <v>175</v>
      </c>
      <c r="G11" s="3">
        <v>8</v>
      </c>
      <c r="H11" s="5">
        <f t="shared" si="0"/>
        <v>1.9166666666666667</v>
      </c>
    </row>
    <row r="12" spans="1:8" x14ac:dyDescent="0.3">
      <c r="A12" s="3">
        <v>8</v>
      </c>
      <c r="B12" s="3" t="s">
        <v>21</v>
      </c>
      <c r="C12" s="3">
        <v>2023</v>
      </c>
      <c r="D12" s="3" t="s">
        <v>11</v>
      </c>
      <c r="E12" s="4">
        <v>15</v>
      </c>
      <c r="F12" s="4">
        <v>63</v>
      </c>
      <c r="G12" s="3">
        <v>7.1</v>
      </c>
      <c r="H12" s="5">
        <f t="shared" si="0"/>
        <v>3.2</v>
      </c>
    </row>
    <row r="13" spans="1:8" x14ac:dyDescent="0.3">
      <c r="A13" s="3">
        <v>9</v>
      </c>
      <c r="B13" s="3" t="s">
        <v>22</v>
      </c>
      <c r="C13" s="3">
        <v>2024</v>
      </c>
      <c r="D13" s="3" t="s">
        <v>23</v>
      </c>
      <c r="E13" s="4">
        <v>50</v>
      </c>
      <c r="F13" s="4">
        <v>145</v>
      </c>
      <c r="G13" s="3">
        <v>7.9</v>
      </c>
      <c r="H13" s="5">
        <f t="shared" si="0"/>
        <v>1.9</v>
      </c>
    </row>
    <row r="14" spans="1:8" x14ac:dyDescent="0.3">
      <c r="A14" s="3">
        <v>10</v>
      </c>
      <c r="B14" s="3" t="s">
        <v>24</v>
      </c>
      <c r="C14" s="3">
        <v>2024</v>
      </c>
      <c r="D14" s="3" t="s">
        <v>25</v>
      </c>
      <c r="E14" s="4">
        <v>25</v>
      </c>
      <c r="F14" s="4">
        <v>95</v>
      </c>
      <c r="G14" s="3">
        <v>7.6</v>
      </c>
      <c r="H14" s="5">
        <f t="shared" si="0"/>
        <v>2.8</v>
      </c>
    </row>
    <row r="15" spans="1:8" x14ac:dyDescent="0.3">
      <c r="A15" s="3">
        <v>11</v>
      </c>
      <c r="B15" s="3" t="s">
        <v>26</v>
      </c>
      <c r="C15" s="3">
        <v>2025</v>
      </c>
      <c r="D15" s="3" t="s">
        <v>17</v>
      </c>
      <c r="E15" s="4">
        <v>75</v>
      </c>
      <c r="F15" s="4">
        <v>190</v>
      </c>
      <c r="G15" s="3">
        <v>8.1999999999999993</v>
      </c>
      <c r="H15" s="5">
        <f t="shared" si="0"/>
        <v>1.5333333333333334</v>
      </c>
    </row>
    <row r="16" spans="1:8" x14ac:dyDescent="0.3">
      <c r="A16" s="3">
        <v>12</v>
      </c>
      <c r="B16" s="3" t="s">
        <v>27</v>
      </c>
      <c r="C16" s="3">
        <v>2025</v>
      </c>
      <c r="D16" s="3" t="s">
        <v>15</v>
      </c>
      <c r="E16" s="4">
        <v>14</v>
      </c>
      <c r="F16" s="4">
        <v>52</v>
      </c>
      <c r="G16" s="3">
        <v>7.3</v>
      </c>
      <c r="H16" s="5">
        <f t="shared" si="0"/>
        <v>2.7142857142857144</v>
      </c>
    </row>
    <row r="17" spans="1:8" x14ac:dyDescent="0.3">
      <c r="A17" s="3">
        <v>13</v>
      </c>
      <c r="B17" s="3" t="s">
        <v>28</v>
      </c>
      <c r="C17" s="3">
        <v>2020</v>
      </c>
      <c r="D17" s="3" t="s">
        <v>17</v>
      </c>
      <c r="E17" s="4">
        <v>65</v>
      </c>
      <c r="F17" s="4">
        <v>155</v>
      </c>
      <c r="G17" s="3">
        <v>7.7</v>
      </c>
      <c r="H17" s="5">
        <f t="shared" si="0"/>
        <v>1.3846153846153846</v>
      </c>
    </row>
    <row r="18" spans="1:8" x14ac:dyDescent="0.3">
      <c r="A18" s="3">
        <v>14</v>
      </c>
      <c r="B18" s="3" t="s">
        <v>29</v>
      </c>
      <c r="C18" s="3">
        <v>2021</v>
      </c>
      <c r="D18" s="3" t="s">
        <v>25</v>
      </c>
      <c r="E18" s="4">
        <v>22</v>
      </c>
      <c r="F18" s="4">
        <v>88</v>
      </c>
      <c r="G18" s="3">
        <v>7.4</v>
      </c>
      <c r="H18" s="5">
        <f t="shared" si="0"/>
        <v>3</v>
      </c>
    </row>
    <row r="19" spans="1:8" x14ac:dyDescent="0.3">
      <c r="A19" s="3">
        <v>15</v>
      </c>
      <c r="B19" s="3" t="s">
        <v>30</v>
      </c>
      <c r="C19" s="3">
        <v>2022</v>
      </c>
      <c r="D19" s="3" t="s">
        <v>9</v>
      </c>
      <c r="E19" s="4">
        <v>55</v>
      </c>
      <c r="F19" s="4">
        <v>140</v>
      </c>
      <c r="G19" s="3">
        <v>7.6</v>
      </c>
      <c r="H19" s="5">
        <f t="shared" si="0"/>
        <v>1.5454545454545454</v>
      </c>
    </row>
    <row r="20" spans="1:8" x14ac:dyDescent="0.3">
      <c r="A20" s="3">
        <v>16</v>
      </c>
      <c r="B20" s="3" t="s">
        <v>31</v>
      </c>
      <c r="C20" s="3">
        <v>2023</v>
      </c>
      <c r="D20" s="3" t="s">
        <v>11</v>
      </c>
      <c r="E20" s="4">
        <v>13</v>
      </c>
      <c r="F20" s="4">
        <v>61</v>
      </c>
      <c r="G20" s="3">
        <v>7</v>
      </c>
      <c r="H20" s="5">
        <f t="shared" si="0"/>
        <v>3.6923076923076925</v>
      </c>
    </row>
    <row r="21" spans="1:8" x14ac:dyDescent="0.3">
      <c r="A21" s="3">
        <v>17</v>
      </c>
      <c r="B21" s="3" t="s">
        <v>32</v>
      </c>
      <c r="C21" s="3">
        <v>2024</v>
      </c>
      <c r="D21" s="3" t="s">
        <v>23</v>
      </c>
      <c r="E21" s="4">
        <v>42</v>
      </c>
      <c r="F21" s="4">
        <v>130</v>
      </c>
      <c r="G21" s="3">
        <v>8</v>
      </c>
      <c r="H21" s="5">
        <f t="shared" si="0"/>
        <v>2.0952380952380953</v>
      </c>
    </row>
    <row r="22" spans="1:8" x14ac:dyDescent="0.3">
      <c r="A22" s="3">
        <v>18</v>
      </c>
      <c r="B22" s="3" t="s">
        <v>33</v>
      </c>
      <c r="C22" s="3">
        <v>2025</v>
      </c>
      <c r="D22" s="3" t="s">
        <v>19</v>
      </c>
      <c r="E22" s="4">
        <v>11</v>
      </c>
      <c r="F22" s="4">
        <v>58</v>
      </c>
      <c r="G22" s="3">
        <v>7.1</v>
      </c>
      <c r="H22" s="5">
        <f t="shared" si="0"/>
        <v>4.2727272727272725</v>
      </c>
    </row>
    <row r="23" spans="1:8" x14ac:dyDescent="0.3">
      <c r="A23" s="3">
        <v>19</v>
      </c>
      <c r="B23" s="3" t="s">
        <v>34</v>
      </c>
      <c r="C23" s="3">
        <v>2020</v>
      </c>
      <c r="D23" s="3" t="s">
        <v>13</v>
      </c>
      <c r="E23" s="4">
        <v>16</v>
      </c>
      <c r="F23" s="4">
        <v>70</v>
      </c>
      <c r="G23" s="3">
        <v>7.5</v>
      </c>
      <c r="H23" s="5">
        <f t="shared" si="0"/>
        <v>3.375</v>
      </c>
    </row>
    <row r="24" spans="1:8" x14ac:dyDescent="0.3">
      <c r="A24" s="3">
        <v>20</v>
      </c>
      <c r="B24" s="3" t="s">
        <v>35</v>
      </c>
      <c r="C24" s="3">
        <v>2021</v>
      </c>
      <c r="D24" s="3" t="s">
        <v>15</v>
      </c>
      <c r="E24" s="4">
        <v>30</v>
      </c>
      <c r="F24" s="4">
        <v>105</v>
      </c>
      <c r="G24" s="3">
        <v>7.9</v>
      </c>
      <c r="H24" s="5">
        <f t="shared" si="0"/>
        <v>2.5</v>
      </c>
    </row>
    <row r="25" spans="1:8" x14ac:dyDescent="0.3">
      <c r="A25" s="3">
        <v>21</v>
      </c>
      <c r="B25" s="3" t="s">
        <v>36</v>
      </c>
      <c r="C25" s="3">
        <v>2022</v>
      </c>
      <c r="D25" s="3" t="s">
        <v>17</v>
      </c>
      <c r="E25" s="4">
        <v>90</v>
      </c>
      <c r="F25" s="4">
        <v>240</v>
      </c>
      <c r="G25" s="3">
        <v>8.5</v>
      </c>
      <c r="H25" s="5">
        <f t="shared" si="0"/>
        <v>1.6666666666666667</v>
      </c>
    </row>
    <row r="26" spans="1:8" x14ac:dyDescent="0.3">
      <c r="A26" s="3">
        <v>22</v>
      </c>
      <c r="B26" s="3" t="s">
        <v>37</v>
      </c>
      <c r="C26" s="3">
        <v>2023</v>
      </c>
      <c r="D26" s="3" t="s">
        <v>25</v>
      </c>
      <c r="E26" s="4">
        <v>28</v>
      </c>
      <c r="F26" s="4">
        <v>110</v>
      </c>
      <c r="G26" s="3">
        <v>7.8</v>
      </c>
      <c r="H26" s="5">
        <f t="shared" si="0"/>
        <v>2.9285714285714284</v>
      </c>
    </row>
    <row r="27" spans="1:8" x14ac:dyDescent="0.3">
      <c r="A27" s="3">
        <v>23</v>
      </c>
      <c r="B27" s="3" t="s">
        <v>38</v>
      </c>
      <c r="C27" s="3">
        <v>2024</v>
      </c>
      <c r="D27" s="3" t="s">
        <v>23</v>
      </c>
      <c r="E27" s="4">
        <v>35</v>
      </c>
      <c r="F27" s="4">
        <v>115</v>
      </c>
      <c r="G27" s="3">
        <v>7.6</v>
      </c>
      <c r="H27" s="5">
        <f t="shared" si="0"/>
        <v>2.2857142857142856</v>
      </c>
    </row>
    <row r="28" spans="1:8" x14ac:dyDescent="0.3">
      <c r="A28" s="3">
        <v>24</v>
      </c>
      <c r="B28" s="3" t="s">
        <v>39</v>
      </c>
      <c r="C28" s="3">
        <v>2025</v>
      </c>
      <c r="D28" s="3" t="s">
        <v>11</v>
      </c>
      <c r="E28" s="4">
        <v>17</v>
      </c>
      <c r="F28" s="4">
        <v>75</v>
      </c>
      <c r="G28" s="3">
        <v>7.4</v>
      </c>
      <c r="H28" s="5">
        <f t="shared" si="0"/>
        <v>3.4117647058823528</v>
      </c>
    </row>
    <row r="29" spans="1:8" x14ac:dyDescent="0.3">
      <c r="A29" s="3">
        <v>25</v>
      </c>
      <c r="B29" s="3" t="s">
        <v>40</v>
      </c>
      <c r="C29" s="3">
        <v>2020</v>
      </c>
      <c r="D29" s="3" t="s">
        <v>9</v>
      </c>
      <c r="E29" s="4">
        <v>70</v>
      </c>
      <c r="F29" s="4">
        <v>185</v>
      </c>
      <c r="G29" s="3">
        <v>8.1</v>
      </c>
      <c r="H29" s="5">
        <f t="shared" si="0"/>
        <v>1.6428571428571428</v>
      </c>
    </row>
    <row r="30" spans="1:8" x14ac:dyDescent="0.3">
      <c r="A30" s="3">
        <v>26</v>
      </c>
      <c r="B30" s="3" t="s">
        <v>41</v>
      </c>
      <c r="C30" s="3">
        <v>2021</v>
      </c>
      <c r="D30" s="3" t="s">
        <v>15</v>
      </c>
      <c r="E30" s="4">
        <v>19</v>
      </c>
      <c r="F30" s="4">
        <v>64</v>
      </c>
      <c r="G30" s="3">
        <v>7.2</v>
      </c>
      <c r="H30" s="5">
        <f t="shared" si="0"/>
        <v>2.3684210526315788</v>
      </c>
    </row>
    <row r="31" spans="1:8" x14ac:dyDescent="0.3">
      <c r="A31" s="3">
        <v>27</v>
      </c>
      <c r="B31" s="3" t="s">
        <v>42</v>
      </c>
      <c r="C31" s="3">
        <v>2022</v>
      </c>
      <c r="D31" s="3" t="s">
        <v>13</v>
      </c>
      <c r="E31" s="4">
        <v>24</v>
      </c>
      <c r="F31" s="4">
        <v>92</v>
      </c>
      <c r="G31" s="3">
        <v>7.7</v>
      </c>
      <c r="H31" s="5">
        <f t="shared" si="0"/>
        <v>2.8333333333333335</v>
      </c>
    </row>
    <row r="32" spans="1:8" x14ac:dyDescent="0.3">
      <c r="A32" s="3">
        <v>28</v>
      </c>
      <c r="B32" s="3" t="s">
        <v>43</v>
      </c>
      <c r="C32" s="3">
        <v>2023</v>
      </c>
      <c r="D32" s="3" t="s">
        <v>19</v>
      </c>
      <c r="E32" s="4">
        <v>9</v>
      </c>
      <c r="F32" s="4">
        <v>45</v>
      </c>
      <c r="G32" s="3">
        <v>6.8</v>
      </c>
      <c r="H32" s="5">
        <f t="shared" si="0"/>
        <v>4</v>
      </c>
    </row>
    <row r="33" spans="1:8" x14ac:dyDescent="0.3">
      <c r="A33" s="3">
        <v>29</v>
      </c>
      <c r="B33" s="3" t="s">
        <v>44</v>
      </c>
      <c r="C33" s="3">
        <v>2024</v>
      </c>
      <c r="D33" s="3" t="s">
        <v>23</v>
      </c>
      <c r="E33" s="4">
        <v>48</v>
      </c>
      <c r="F33" s="4">
        <v>150</v>
      </c>
      <c r="G33" s="3">
        <v>8.1</v>
      </c>
      <c r="H33" s="5">
        <f t="shared" si="0"/>
        <v>2.125</v>
      </c>
    </row>
    <row r="34" spans="1:8" x14ac:dyDescent="0.3">
      <c r="A34" s="3">
        <v>30</v>
      </c>
      <c r="B34" s="3" t="s">
        <v>45</v>
      </c>
      <c r="C34" s="3">
        <v>2025</v>
      </c>
      <c r="D34" s="3" t="s">
        <v>17</v>
      </c>
      <c r="E34" s="4">
        <v>85</v>
      </c>
      <c r="F34" s="4">
        <v>225</v>
      </c>
      <c r="G34" s="3">
        <v>8.3000000000000007</v>
      </c>
      <c r="H34" s="5">
        <f t="shared" si="0"/>
        <v>1.6470588235294117</v>
      </c>
    </row>
    <row r="35" spans="1:8" x14ac:dyDescent="0.3">
      <c r="A35" s="3">
        <v>31</v>
      </c>
      <c r="B35" s="3" t="s">
        <v>46</v>
      </c>
      <c r="C35" s="3">
        <v>2020</v>
      </c>
      <c r="D35" s="3" t="s">
        <v>11</v>
      </c>
      <c r="E35" s="4">
        <v>14</v>
      </c>
      <c r="F35" s="4">
        <v>62</v>
      </c>
      <c r="G35" s="3">
        <v>7.3</v>
      </c>
      <c r="H35" s="5">
        <f t="shared" si="0"/>
        <v>3.4285714285714284</v>
      </c>
    </row>
    <row r="36" spans="1:8" x14ac:dyDescent="0.3">
      <c r="A36" s="3">
        <v>32</v>
      </c>
      <c r="B36" s="3" t="s">
        <v>47</v>
      </c>
      <c r="C36" s="3">
        <v>2021</v>
      </c>
      <c r="D36" s="3" t="s">
        <v>25</v>
      </c>
      <c r="E36" s="4">
        <v>32</v>
      </c>
      <c r="F36" s="4">
        <v>125</v>
      </c>
      <c r="G36" s="3">
        <v>7.9</v>
      </c>
      <c r="H36" s="5">
        <f t="shared" si="0"/>
        <v>2.90625</v>
      </c>
    </row>
    <row r="37" spans="1:8" x14ac:dyDescent="0.3">
      <c r="A37" s="3">
        <v>33</v>
      </c>
      <c r="B37" s="3" t="s">
        <v>48</v>
      </c>
      <c r="C37" s="3">
        <v>2022</v>
      </c>
      <c r="D37" s="3" t="s">
        <v>9</v>
      </c>
      <c r="E37" s="4">
        <v>50</v>
      </c>
      <c r="F37" s="4">
        <v>135</v>
      </c>
      <c r="G37" s="3">
        <v>7.5</v>
      </c>
      <c r="H37" s="5">
        <f t="shared" si="0"/>
        <v>1.7</v>
      </c>
    </row>
    <row r="38" spans="1:8" x14ac:dyDescent="0.3">
      <c r="A38" s="3">
        <v>34</v>
      </c>
      <c r="B38" s="3" t="s">
        <v>49</v>
      </c>
      <c r="C38" s="3">
        <v>2023</v>
      </c>
      <c r="D38" s="3" t="s">
        <v>15</v>
      </c>
      <c r="E38" s="4">
        <v>16</v>
      </c>
      <c r="F38" s="4">
        <v>59</v>
      </c>
      <c r="G38" s="3">
        <v>7</v>
      </c>
      <c r="H38" s="5">
        <f t="shared" si="0"/>
        <v>2.6875</v>
      </c>
    </row>
    <row r="39" spans="1:8" x14ac:dyDescent="0.3">
      <c r="A39" s="3">
        <v>35</v>
      </c>
      <c r="B39" s="3" t="s">
        <v>50</v>
      </c>
      <c r="C39" s="3">
        <v>2024</v>
      </c>
      <c r="D39" s="3" t="s">
        <v>13</v>
      </c>
      <c r="E39" s="4">
        <v>21</v>
      </c>
      <c r="F39" s="4">
        <v>85</v>
      </c>
      <c r="G39" s="3">
        <v>7.6</v>
      </c>
      <c r="H39" s="5">
        <f t="shared" si="0"/>
        <v>3.0476190476190474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4"/>
  <sheetViews>
    <sheetView tabSelected="1" zoomScaleNormal="100" workbookViewId="0">
      <selection activeCell="I22" sqref="I22"/>
    </sheetView>
  </sheetViews>
  <sheetFormatPr defaultColWidth="8.6640625" defaultRowHeight="14.4" x14ac:dyDescent="0.3"/>
  <cols>
    <col min="1" max="1" width="16" customWidth="1"/>
    <col min="2" max="2" width="13" customWidth="1"/>
    <col min="3" max="3" width="22" customWidth="1"/>
    <col min="4" max="4" width="18" customWidth="1"/>
    <col min="5" max="5" width="13" customWidth="1"/>
    <col min="6" max="6" width="16" customWidth="1"/>
  </cols>
  <sheetData>
    <row r="1" spans="1:6" ht="17.399999999999999" x14ac:dyDescent="0.3">
      <c r="A1" s="1" t="s">
        <v>51</v>
      </c>
    </row>
    <row r="2" spans="1:6" ht="23.85" customHeight="1" x14ac:dyDescent="0.3">
      <c r="A2" s="12"/>
      <c r="B2" s="12"/>
      <c r="C2" s="12"/>
      <c r="D2" s="12"/>
      <c r="E2" s="12"/>
      <c r="F2" s="12"/>
    </row>
    <row r="4" spans="1:6" ht="28.2" x14ac:dyDescent="0.3">
      <c r="A4" s="2" t="s">
        <v>3</v>
      </c>
      <c r="B4" s="2" t="s">
        <v>59</v>
      </c>
      <c r="C4" s="2" t="s">
        <v>52</v>
      </c>
      <c r="D4" s="2" t="s">
        <v>53</v>
      </c>
      <c r="E4" s="2" t="s">
        <v>54</v>
      </c>
      <c r="F4" s="2" t="s">
        <v>55</v>
      </c>
    </row>
    <row r="5" spans="1:6" x14ac:dyDescent="0.3">
      <c r="A5" s="3" t="s">
        <v>9</v>
      </c>
      <c r="B5" s="3">
        <f>COUNTIF('Raw Data'!$D$5:$D$39,A5)</f>
        <v>5</v>
      </c>
      <c r="C5" s="6">
        <f>AVERAGEIF('Raw Data'!$D$5:$D$39,A5,'Raw Data'!$E$5:$E$39)</f>
        <v>56</v>
      </c>
      <c r="D5" s="6">
        <f>AVERAGEIF('Raw Data'!$D$5:$D$39,A5,'Raw Data'!$F$5:$F$39)</f>
        <v>151</v>
      </c>
      <c r="E5" s="5">
        <f>AVERAGEIF('Raw Data'!$D$5:$D$39,A5,'Raw Data'!$H$5:$H$39)</f>
        <v>1.694329004329004</v>
      </c>
      <c r="F5" s="7">
        <f>AVERAGEIF('Raw Data'!$D$5:$D$39,A5,'Raw Data'!$G$5:$G$39)</f>
        <v>7.8600000000000012</v>
      </c>
    </row>
    <row r="6" spans="1:6" x14ac:dyDescent="0.3">
      <c r="A6" s="3" t="s">
        <v>23</v>
      </c>
      <c r="B6" s="3">
        <f>COUNTIF('Raw Data'!$D$5:$D$39,A6)</f>
        <v>4</v>
      </c>
      <c r="C6" s="6">
        <f>AVERAGEIF('Raw Data'!$D$5:$D$39,A6,'Raw Data'!$E$5:$E$39)</f>
        <v>43.75</v>
      </c>
      <c r="D6" s="6">
        <f>AVERAGEIF('Raw Data'!$D$5:$D$39,A6,'Raw Data'!$F$5:$F$39)</f>
        <v>135</v>
      </c>
      <c r="E6" s="5">
        <f>AVERAGEIF('Raw Data'!$D$5:$D$39,A6,'Raw Data'!$H$5:$H$39)</f>
        <v>2.1014880952380954</v>
      </c>
      <c r="F6" s="7">
        <f>AVERAGEIF('Raw Data'!$D$5:$D$39,A6,'Raw Data'!$G$5:$G$39)</f>
        <v>7.9</v>
      </c>
    </row>
    <row r="7" spans="1:6" x14ac:dyDescent="0.3">
      <c r="A7" s="3" t="s">
        <v>19</v>
      </c>
      <c r="B7" s="3">
        <f>COUNTIF('Raw Data'!$D$5:$D$39,A7)</f>
        <v>3</v>
      </c>
      <c r="C7" s="6">
        <f>AVERAGEIF('Raw Data'!$D$5:$D$39,A7,'Raw Data'!$E$5:$E$39)</f>
        <v>10</v>
      </c>
      <c r="D7" s="6">
        <f>AVERAGEIF('Raw Data'!$D$5:$D$39,A7,'Raw Data'!$F$5:$F$39)</f>
        <v>50.333333333333336</v>
      </c>
      <c r="E7" s="5">
        <f>AVERAGEIF('Raw Data'!$D$5:$D$39,A7,'Raw Data'!$H$5:$H$39)</f>
        <v>4.0242424242424244</v>
      </c>
      <c r="F7" s="7">
        <f>AVERAGEIF('Raw Data'!$D$5:$D$39,A7,'Raw Data'!$G$5:$G$39)</f>
        <v>6.9333333333333336</v>
      </c>
    </row>
    <row r="8" spans="1:6" x14ac:dyDescent="0.3">
      <c r="A8" s="3" t="s">
        <v>15</v>
      </c>
      <c r="B8" s="3">
        <f>COUNTIF('Raw Data'!$D$5:$D$39,A8)</f>
        <v>5</v>
      </c>
      <c r="C8" s="6">
        <f>AVERAGEIF('Raw Data'!$D$5:$D$39,A8,'Raw Data'!$E$5:$E$39)</f>
        <v>19.8</v>
      </c>
      <c r="D8" s="6">
        <f>AVERAGEIF('Raw Data'!$D$5:$D$39,A8,'Raw Data'!$F$5:$F$39)</f>
        <v>69.599999999999994</v>
      </c>
      <c r="E8" s="5">
        <f>AVERAGEIF('Raw Data'!$D$5:$D$39,A8,'Raw Data'!$H$5:$H$39)</f>
        <v>2.5340413533834587</v>
      </c>
      <c r="F8" s="7">
        <f>AVERAGEIF('Raw Data'!$D$5:$D$39,A8,'Raw Data'!$G$5:$G$39)</f>
        <v>7.3800000000000008</v>
      </c>
    </row>
    <row r="9" spans="1:6" x14ac:dyDescent="0.3">
      <c r="A9" s="3" t="s">
        <v>13</v>
      </c>
      <c r="B9" s="3">
        <f>COUNTIF('Raw Data'!$D$5:$D$39,A9)</f>
        <v>4</v>
      </c>
      <c r="C9" s="6">
        <f>AVERAGEIF('Raw Data'!$D$5:$D$39,A9,'Raw Data'!$E$5:$E$39)</f>
        <v>19.75</v>
      </c>
      <c r="D9" s="6">
        <f>AVERAGEIF('Raw Data'!$D$5:$D$39,A9,'Raw Data'!$F$5:$F$39)</f>
        <v>79.75</v>
      </c>
      <c r="E9" s="5">
        <f>AVERAGEIF('Raw Data'!$D$5:$D$39,A9,'Raw Data'!$H$5:$H$39)</f>
        <v>3.0639880952380953</v>
      </c>
      <c r="F9" s="7">
        <f>AVERAGEIF('Raw Data'!$D$5:$D$39,A9,'Raw Data'!$G$5:$G$39)</f>
        <v>7.65</v>
      </c>
    </row>
    <row r="10" spans="1:6" x14ac:dyDescent="0.3">
      <c r="A10" s="3" t="s">
        <v>11</v>
      </c>
      <c r="B10" s="3">
        <f>COUNTIF('Raw Data'!$D$5:$D$39,A10)</f>
        <v>5</v>
      </c>
      <c r="C10" s="6">
        <f>AVERAGEIF('Raw Data'!$D$5:$D$39,A10,'Raw Data'!$E$5:$E$39)</f>
        <v>14.2</v>
      </c>
      <c r="D10" s="6">
        <f>AVERAGEIF('Raw Data'!$D$5:$D$39,A10,'Raw Data'!$F$5:$F$39)</f>
        <v>63.2</v>
      </c>
      <c r="E10" s="5">
        <f>AVERAGEIF('Raw Data'!$D$5:$D$39,A10,'Raw Data'!$H$5:$H$39)</f>
        <v>3.4631954320189613</v>
      </c>
      <c r="F10" s="7">
        <f>AVERAGEIF('Raw Data'!$D$5:$D$39,A10,'Raw Data'!$G$5:$G$39)</f>
        <v>7.2</v>
      </c>
    </row>
    <row r="11" spans="1:6" x14ac:dyDescent="0.3">
      <c r="A11" s="3" t="s">
        <v>17</v>
      </c>
      <c r="B11" s="3">
        <f>COUNTIF('Raw Data'!$D$5:$D$39,A11)</f>
        <v>5</v>
      </c>
      <c r="C11" s="6">
        <f>AVERAGEIF('Raw Data'!$D$5:$D$39,A11,'Raw Data'!$E$5:$E$39)</f>
        <v>79</v>
      </c>
      <c r="D11" s="6">
        <f>AVERAGEIF('Raw Data'!$D$5:$D$39,A11,'Raw Data'!$F$5:$F$39)</f>
        <v>204</v>
      </c>
      <c r="E11" s="5">
        <f>AVERAGEIF('Raw Data'!$D$5:$D$39,A11,'Raw Data'!$H$5:$H$39)</f>
        <v>1.5713348416289594</v>
      </c>
      <c r="F11" s="7">
        <f>AVERAGEIF('Raw Data'!$D$5:$D$39,A11,'Raw Data'!$G$5:$G$39)</f>
        <v>8.2199999999999989</v>
      </c>
    </row>
    <row r="12" spans="1:6" x14ac:dyDescent="0.3">
      <c r="A12" s="3" t="s">
        <v>25</v>
      </c>
      <c r="B12" s="3">
        <f>COUNTIF('Raw Data'!$D$5:$D$39,A12)</f>
        <v>4</v>
      </c>
      <c r="C12" s="6">
        <f>AVERAGEIF('Raw Data'!$D$5:$D$39,A12,'Raw Data'!$E$5:$E$39)</f>
        <v>26.75</v>
      </c>
      <c r="D12" s="6">
        <f>AVERAGEIF('Raw Data'!$D$5:$D$39,A12,'Raw Data'!$F$5:$F$39)</f>
        <v>104.5</v>
      </c>
      <c r="E12" s="5">
        <f>AVERAGEIF('Raw Data'!$D$5:$D$39,A12,'Raw Data'!$H$5:$H$39)</f>
        <v>2.9087053571428569</v>
      </c>
      <c r="F12" s="7">
        <f>AVERAGEIF('Raw Data'!$D$5:$D$39,A12,'Raw Data'!$G$5:$G$39)</f>
        <v>7.6750000000000007</v>
      </c>
    </row>
    <row r="14" spans="1:6" x14ac:dyDescent="0.3">
      <c r="A14" s="8" t="s">
        <v>56</v>
      </c>
      <c r="B14" s="8">
        <f>SUM(B5:B12)</f>
        <v>35</v>
      </c>
      <c r="C14" s="9">
        <f>AVERAGE('Raw Data'!$E$5:$E$39)</f>
        <v>35.314285714285717</v>
      </c>
      <c r="D14" s="9">
        <f>AVERAGE('Raw Data'!$F$5:$F$39)</f>
        <v>110.48571428571428</v>
      </c>
      <c r="E14" s="10">
        <f>AVERAGE('Raw Data'!$H$5:$H$39)</f>
        <v>2.590970189143011</v>
      </c>
      <c r="F14" s="11">
        <f>AVERAGE('Raw Data'!$G$5:$G$39)</f>
        <v>7.628571428571429</v>
      </c>
    </row>
  </sheetData>
  <mergeCells count="1">
    <mergeCell ref="A2:F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Genre ROI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Palak Gujarkar</cp:lastModifiedBy>
  <cp:revision>1</cp:revision>
  <cp:lastPrinted>2026-08-22T13:09:28Z</cp:lastPrinted>
  <dcterms:created xsi:type="dcterms:W3CDTF">2026-08-22T12:56:02Z</dcterms:created>
  <dcterms:modified xsi:type="dcterms:W3CDTF">2026-08-22T13:16:23Z</dcterms:modified>
  <dc:language>en-US</dc:language>
</cp:coreProperties>
</file>